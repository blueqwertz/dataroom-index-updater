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dex List" sheetId="1" state="visible" r:id="rId1"/>
    <sheet xmlns:r="http://schemas.openxmlformats.org/officeDocument/2006/relationships" name="Index List Summary" sheetId="2" state="visible" r:id="rId2"/>
    <sheet xmlns:r="http://schemas.openxmlformats.org/officeDocument/2006/relationships" name="Summary Key" sheetId="3" state="visible" r:id="rId3"/>
  </sheets>
  <definedNames>
    <definedName name="_xlnm._FilterDatabase" localSheetId="0" hidden="1">'Index List'!$A$1:$N$1</definedName>
    <definedName name="_xlnm._FilterDatabase" localSheetId="1" hidden="1">'Index List Summary'!$A$1:$E$1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5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Arial"/>
      <color indexed="12"/>
      <sz val="11"/>
      <u val="single"/>
    </font>
    <font>
      <name val="Calibri"/>
      <b val="1"/>
      <color indexed="8"/>
      <sz val="11"/>
    </font>
    <font>
      <name val="Aptos Narrow"/>
      <family val="2"/>
      <color theme="1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38932"/>
      </patternFill>
    </fill>
    <fill>
      <patternFill patternType="solid">
        <fgColor rgb="FFFBDCC2"/>
      </patternFill>
    </fill>
    <fill>
      <patternFill patternType="solid">
        <fgColor rgb="FFCAD3FE"/>
      </patternFill>
    </fill>
    <fill>
      <patternFill patternType="solid">
        <fgColor rgb="FFE9EAFF"/>
      </patternFill>
    </fill>
    <fill>
      <patternFill patternType="solid">
        <fgColor rgb="FFFFECB0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B602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3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16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16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17" borderId="0" pivotButton="0" quotePrefix="0" xfId="0"/>
    <xf numFmtId="0" fontId="0" fillId="17" borderId="0" applyAlignment="1" pivotButton="0" quotePrefix="0" xfId="0">
      <alignment wrapText="1"/>
    </xf>
    <xf numFmtId="0" fontId="0" fillId="17" borderId="0" applyAlignment="1" pivotButton="0" quotePrefix="0" xfId="0">
      <alignment horizontal="center"/>
    </xf>
    <xf numFmtId="0" fontId="2" fillId="17" borderId="0" pivotButton="0" quotePrefix="0" xfId="0"/>
    <xf numFmtId="164" fontId="0" fillId="17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3"/>
  <sheetViews>
    <sheetView tabSelected="1" zoomScaleNormal="100" workbookViewId="0">
      <selection activeCell="A3" sqref="A3"/>
    </sheetView>
  </sheetViews>
  <sheetFormatPr baseColWidth="8" defaultColWidth="30.85546875" defaultRowHeight="15"/>
  <cols>
    <col width="15" customWidth="1" style="148" min="1" max="2"/>
    <col width="121.7109375" customWidth="1" style="15" min="3" max="3"/>
    <col width="32.5703125" customWidth="1" style="35" min="4" max="5"/>
    <col width="30" customWidth="1" style="148" min="6" max="6"/>
    <col width="13" customWidth="1" style="148" min="7" max="7"/>
    <col width="11" customWidth="1" style="148" min="8" max="8"/>
    <col width="10" customWidth="1" style="148" min="9" max="9"/>
    <col width="17" customWidth="1" style="148" min="10" max="10"/>
    <col width="8" customWidth="1" style="148" min="11" max="11"/>
    <col width="19" customWidth="1" style="148" min="12" max="12"/>
    <col width="26" customWidth="1" style="148" min="13" max="13"/>
  </cols>
  <sheetData>
    <row r="1">
      <c r="A1" t="inlineStr">
        <is>
          <t>Fileroom</t>
        </is>
      </c>
      <c r="B1" t="inlineStr">
        <is>
          <t>Index</t>
        </is>
      </c>
      <c r="C1" s="15" t="inlineStr">
        <is>
          <t>Title</t>
        </is>
      </c>
      <c r="D1" s="35" t="inlineStr">
        <is>
          <t>BG Allocation</t>
        </is>
      </c>
      <c r="E1" s="35" t="inlineStr">
        <is>
          <t>BG Comment</t>
        </is>
      </c>
      <c r="F1" t="inlineStr">
        <is>
          <t>Hyperlink</t>
        </is>
      </c>
      <c r="G1" t="inlineStr">
        <is>
          <t>Type</t>
        </is>
      </c>
      <c r="H1" t="inlineStr">
        <is>
          <t>File Type</t>
        </is>
      </c>
      <c r="I1" t="inlineStr">
        <is>
          <t>Level</t>
        </is>
      </c>
      <c r="J1" t="inlineStr">
        <is>
          <t>File size in MB</t>
        </is>
      </c>
      <c r="K1" t="inlineStr">
        <is>
          <t>Status</t>
        </is>
      </c>
      <c r="L1" t="inlineStr">
        <is>
          <t>Date Available</t>
        </is>
      </c>
      <c r="M1" t="inlineStr">
        <is>
          <t>Unique Id</t>
        </is>
      </c>
    </row>
    <row r="2">
      <c r="A2" s="1" t="inlineStr">
        <is>
          <t>Project Notos</t>
        </is>
      </c>
      <c r="B2" s="1" t="n"/>
      <c r="C2" s="16" t="inlineStr">
        <is>
          <t>Project Notos</t>
        </is>
      </c>
      <c r="D2" s="24" t="n"/>
      <c r="E2" s="31" t="n"/>
      <c r="F2" s="4">
        <f>HYPERLINK("https://app.global.datasite.com/platform/container/696652ec0dc07cc02daa26a0/documents/content/index/698a28368beecc47853d99cd","Project Notos")</f>
        <v/>
      </c>
      <c r="G2" s="1" t="inlineStr">
        <is>
          <t>FILEROOM</t>
        </is>
      </c>
      <c r="H2" s="1" t="n"/>
      <c r="I2" s="1" t="inlineStr">
        <is>
          <t>DOWNLOAD</t>
        </is>
      </c>
      <c r="J2" s="1" t="n"/>
      <c r="K2" s="1" t="inlineStr">
        <is>
          <t>Unread</t>
        </is>
      </c>
      <c r="L2" s="7" t="n">
        <v>46176.92764111111</v>
      </c>
      <c r="M2" s="1" t="inlineStr">
        <is>
          <t>698a28368beecc47853d99cd</t>
        </is>
      </c>
    </row>
    <row r="3">
      <c r="A3" s="149" t="inlineStr">
        <is>
          <t>Project Notos</t>
        </is>
      </c>
      <c r="B3" s="149" t="inlineStr">
        <is>
          <t>1</t>
        </is>
      </c>
      <c r="C3" s="17" t="inlineStr">
        <is>
          <t>Legal</t>
        </is>
      </c>
      <c r="D3" s="25" t="n"/>
      <c r="F3" s="150">
        <f>HYPERLINK("https://app.global.datasite.com/platform/container/696652ec0dc07cc02daa26a0/documents/content/index/698cac8491a86cab0ede7513","Legal")</f>
        <v/>
      </c>
      <c r="G3" s="149" t="inlineStr">
        <is>
          <t>FOLDER</t>
        </is>
      </c>
      <c r="H3" s="149" t="n"/>
      <c r="I3" s="149" t="inlineStr">
        <is>
          <t>DOWNLOAD</t>
        </is>
      </c>
      <c r="J3" s="149" t="n"/>
      <c r="K3" s="149" t="inlineStr">
        <is>
          <t>Unread</t>
        </is>
      </c>
      <c r="L3" s="152" t="n">
        <v>46176.92764111111</v>
      </c>
      <c r="M3" s="149" t="inlineStr">
        <is>
          <t>698cac8491a86cab0ede7513</t>
        </is>
      </c>
    </row>
    <row r="4">
      <c r="A4" s="149" t="inlineStr">
        <is>
          <t>Project Notos</t>
        </is>
      </c>
      <c r="B4" s="149" t="inlineStr">
        <is>
          <t>1.1</t>
        </is>
      </c>
      <c r="C4" s="17" t="inlineStr">
        <is>
          <t>Innerio Thermal Technology S.a.r.l. (ITT )</t>
        </is>
      </c>
      <c r="D4" s="25" t="n"/>
      <c r="F4" s="150">
        <f>HYPERLINK("https://app.global.datasite.com/platform/container/696652ec0dc07cc02daa26a0/documents/content/index/698a2af3089a406f0df4f4ff","Innerio Thermal Technology S.a.r.l. (ITT )")</f>
        <v/>
      </c>
      <c r="G4" s="149" t="inlineStr">
        <is>
          <t>FOLDER</t>
        </is>
      </c>
      <c r="H4" s="149" t="n"/>
      <c r="I4" s="149" t="inlineStr">
        <is>
          <t>DOWNLOAD</t>
        </is>
      </c>
      <c r="J4" s="149" t="n"/>
      <c r="K4" s="149" t="inlineStr">
        <is>
          <t>Unread</t>
        </is>
      </c>
      <c r="L4" s="152" t="n">
        <v>46176.92764111111</v>
      </c>
      <c r="M4" s="149" t="inlineStr">
        <is>
          <t>698a2af3089a406f0df4f4ff</t>
        </is>
      </c>
    </row>
    <row r="5">
      <c r="A5" s="149" t="inlineStr">
        <is>
          <t>Project Notos</t>
        </is>
      </c>
      <c r="B5" s="149" t="inlineStr">
        <is>
          <t>1.1.1</t>
        </is>
      </c>
      <c r="C5" s="17" t="inlineStr">
        <is>
          <t>Corporate</t>
        </is>
      </c>
      <c r="D5" s="25" t="n"/>
      <c r="F5" s="150">
        <f>HYPERLINK("https://app.global.datasite.com/platform/container/696652ec0dc07cc02daa26a0/documents/content/index/69bc278e240d271b4ce5ed7e","Corporate")</f>
        <v/>
      </c>
      <c r="G5" s="149" t="inlineStr">
        <is>
          <t>FOLDER</t>
        </is>
      </c>
      <c r="H5" s="149" t="n"/>
      <c r="I5" s="149" t="inlineStr">
        <is>
          <t>DOWNLOAD</t>
        </is>
      </c>
      <c r="J5" s="149" t="n"/>
      <c r="K5" s="149" t="inlineStr">
        <is>
          <t>Unread</t>
        </is>
      </c>
      <c r="L5" s="152" t="n">
        <v>46176.92764111111</v>
      </c>
      <c r="M5" s="149" t="inlineStr">
        <is>
          <t>69bc278e240d271b4ce5ed7e</t>
        </is>
      </c>
    </row>
    <row r="6">
      <c r="A6" s="149" t="inlineStr">
        <is>
          <t>Project Notos</t>
        </is>
      </c>
      <c r="B6" s="149" t="inlineStr">
        <is>
          <t>1.1.1.1</t>
        </is>
      </c>
      <c r="C6" s="17" t="inlineStr">
        <is>
          <t>Company register</t>
        </is>
      </c>
      <c r="D6" s="25" t="n"/>
      <c r="F6" s="150">
        <f>HYPERLINK("https://app.global.datasite.com/platform/container/696652ec0dc07cc02daa26a0/documents/content/index/698cb7f1f621d51c3a4fd962","Company register")</f>
        <v/>
      </c>
      <c r="G6" s="149" t="inlineStr">
        <is>
          <t>FOLDER</t>
        </is>
      </c>
      <c r="H6" s="149" t="n"/>
      <c r="I6" s="149" t="inlineStr">
        <is>
          <t>DOWNLOAD</t>
        </is>
      </c>
      <c r="J6" s="149" t="n"/>
      <c r="K6" s="149" t="inlineStr">
        <is>
          <t>Unread</t>
        </is>
      </c>
      <c r="L6" s="152" t="n">
        <v>46176.92764111111</v>
      </c>
      <c r="M6" s="149" t="inlineStr">
        <is>
          <t>698cb7f1f621d51c3a4fd962</t>
        </is>
      </c>
    </row>
    <row r="7">
      <c r="A7" t="inlineStr">
        <is>
          <t>Project Notos</t>
        </is>
      </c>
      <c r="B7" t="inlineStr">
        <is>
          <t>1.1.1.1.1</t>
        </is>
      </c>
      <c r="C7" s="15" t="inlineStr">
        <is>
          <t>ITT_KRS Register_230407</t>
        </is>
      </c>
      <c r="D7" s="20" t="inlineStr">
        <is>
          <t>Out-of-Scope</t>
        </is>
      </c>
      <c r="F7" s="151">
        <f>HYPERLINK("https://app.global.datasite.com/webviewer/?projectId=696652ec0dc07cc02daa26a0&amp;documentId=69a04ec2daf04c6f274c8fc3","ITT_KRS Register_230407")</f>
        <v/>
      </c>
      <c r="G7" t="inlineStr">
        <is>
          <t>DOCUMENT</t>
        </is>
      </c>
      <c r="H7" t="inlineStr">
        <is>
          <t>pdf</t>
        </is>
      </c>
      <c r="I7" t="inlineStr">
        <is>
          <t>DOWNLOAD</t>
        </is>
      </c>
      <c r="J7" t="n">
        <v>2.38784503</v>
      </c>
      <c r="K7" t="inlineStr">
        <is>
          <t>Unread</t>
        </is>
      </c>
      <c r="L7" s="153" t="n">
        <v>46176.92764111111</v>
      </c>
      <c r="M7" t="inlineStr">
        <is>
          <t>69a04ec2daf04c6f274c8fc3</t>
        </is>
      </c>
    </row>
    <row r="8">
      <c r="A8" t="inlineStr">
        <is>
          <t>Project Notos</t>
        </is>
      </c>
      <c r="B8" t="inlineStr">
        <is>
          <t>1.1.1.1.2</t>
        </is>
      </c>
      <c r="C8" s="15" t="inlineStr">
        <is>
          <t>ITT_RCS Filing re SH change_20210805</t>
        </is>
      </c>
      <c r="D8" s="20" t="inlineStr">
        <is>
          <t>Out-of-Scope</t>
        </is>
      </c>
      <c r="F8" s="151">
        <f>HYPERLINK("https://app.global.datasite.com/webviewer/?projectId=696652ec0dc07cc02daa26a0&amp;documentId=69a986d09f670c66bd87913e","ITT_RCS Filing re SH change_20210805")</f>
        <v/>
      </c>
      <c r="G8" t="inlineStr">
        <is>
          <t>DOCUMENT</t>
        </is>
      </c>
      <c r="H8" t="inlineStr">
        <is>
          <t>pdf</t>
        </is>
      </c>
      <c r="I8" t="inlineStr">
        <is>
          <t>DOWNLOAD</t>
        </is>
      </c>
      <c r="J8" t="n">
        <v>0.16908359</v>
      </c>
      <c r="K8" t="inlineStr">
        <is>
          <t>Unread</t>
        </is>
      </c>
      <c r="L8" s="153" t="n">
        <v>46176.92764111111</v>
      </c>
      <c r="M8" t="inlineStr">
        <is>
          <t>69a986d09f670c66bd87913e</t>
        </is>
      </c>
    </row>
    <row r="9">
      <c r="A9" t="inlineStr">
        <is>
          <t>Project Notos</t>
        </is>
      </c>
      <c r="B9" t="inlineStr">
        <is>
          <t>1.1.1.1.3</t>
        </is>
      </c>
      <c r="C9" s="15" t="inlineStr">
        <is>
          <t>ITT_RCS extract_251216</t>
        </is>
      </c>
      <c r="D9" s="20" t="inlineStr">
        <is>
          <t>Out-of-Scope</t>
        </is>
      </c>
      <c r="F9" s="151">
        <f>HYPERLINK("https://app.global.datasite.com/webviewer/?projectId=696652ec0dc07cc02daa26a0&amp;documentId=69bc07bcaf3e0c9eeb2ce573","ITT_RCS extract_251216")</f>
        <v/>
      </c>
      <c r="G9" t="inlineStr">
        <is>
          <t>DOCUMENT</t>
        </is>
      </c>
      <c r="H9" t="inlineStr">
        <is>
          <t>pdf</t>
        </is>
      </c>
      <c r="I9" t="inlineStr">
        <is>
          <t>DOWNLOAD</t>
        </is>
      </c>
      <c r="J9" t="n">
        <v>0.28079891</v>
      </c>
      <c r="K9" t="inlineStr">
        <is>
          <t>Unread</t>
        </is>
      </c>
      <c r="L9" s="153" t="n">
        <v>46176.92764111111</v>
      </c>
      <c r="M9" t="inlineStr">
        <is>
          <t>69bc07bcaf3e0c9eeb2ce573</t>
        </is>
      </c>
    </row>
    <row r="10">
      <c r="A10" s="149" t="inlineStr">
        <is>
          <t>Project Notos</t>
        </is>
      </c>
      <c r="B10" s="149" t="inlineStr">
        <is>
          <t>1.1.1.2</t>
        </is>
      </c>
      <c r="C10" s="17" t="inlineStr">
        <is>
          <t>Articles of association</t>
        </is>
      </c>
      <c r="D10" s="25" t="n"/>
      <c r="F10" s="150">
        <f>HYPERLINK("https://app.global.datasite.com/platform/container/696652ec0dc07cc02daa26a0/documents/content/index/698cb7fb089a406f0df5d799","Articles of association")</f>
        <v/>
      </c>
      <c r="G10" s="149" t="inlineStr">
        <is>
          <t>FOLDER</t>
        </is>
      </c>
      <c r="H10" s="149" t="n"/>
      <c r="I10" s="149" t="inlineStr">
        <is>
          <t>DOWNLOAD</t>
        </is>
      </c>
      <c r="J10" s="149" t="n"/>
      <c r="K10" s="149" t="inlineStr">
        <is>
          <t>Unread</t>
        </is>
      </c>
      <c r="L10" s="152" t="n">
        <v>46176.92764111111</v>
      </c>
      <c r="M10" s="149" t="inlineStr">
        <is>
          <t>698cb7fb089a406f0df5d799</t>
        </is>
      </c>
    </row>
    <row r="11">
      <c r="A11" t="inlineStr">
        <is>
          <t>Project Notos</t>
        </is>
      </c>
      <c r="B11" t="inlineStr">
        <is>
          <t>1.1.1.2.1</t>
        </is>
      </c>
      <c r="C11" s="15" t="inlineStr">
        <is>
          <t>ITT_AoA_230427</t>
        </is>
      </c>
      <c r="D11" s="20" t="inlineStr">
        <is>
          <t>Out-of-Scope</t>
        </is>
      </c>
      <c r="F11" s="151">
        <f>HYPERLINK("https://app.global.datasite.com/webviewer/?projectId=696652ec0dc07cc02daa26a0&amp;documentId=69a02c1b74322950d41478ee","ITT_AoA_230427")</f>
        <v/>
      </c>
      <c r="G11" t="inlineStr">
        <is>
          <t>DOCUMENT</t>
        </is>
      </c>
      <c r="H11" t="inlineStr">
        <is>
          <t>pdf</t>
        </is>
      </c>
      <c r="I11" t="inlineStr">
        <is>
          <t>DOWNLOAD</t>
        </is>
      </c>
      <c r="J11" t="n">
        <v>10.25392532</v>
      </c>
      <c r="K11" t="inlineStr">
        <is>
          <t>Unread</t>
        </is>
      </c>
      <c r="L11" s="153" t="n">
        <v>46176.92764111111</v>
      </c>
      <c r="M11" t="inlineStr">
        <is>
          <t>69a02c1b74322950d41478ee</t>
        </is>
      </c>
    </row>
    <row r="12">
      <c r="A12" t="inlineStr">
        <is>
          <t>Project Notos</t>
        </is>
      </c>
      <c r="B12" t="inlineStr">
        <is>
          <t>1.1.1.2.2</t>
        </is>
      </c>
      <c r="C12" s="15" t="inlineStr">
        <is>
          <t>ITT_Coordinate AoA_20230224</t>
        </is>
      </c>
      <c r="D12" s="20" t="inlineStr">
        <is>
          <t>Out-of-Scope</t>
        </is>
      </c>
      <c r="F12" s="151">
        <f>HYPERLINK("https://app.global.datasite.com/webviewer/?projectId=696652ec0dc07cc02daa26a0&amp;documentId=69a985e9f64a7be93c355e17","ITT_Coordinate AoA_20230224")</f>
        <v/>
      </c>
      <c r="G12" t="inlineStr">
        <is>
          <t>DOCUMENT</t>
        </is>
      </c>
      <c r="H12" t="inlineStr">
        <is>
          <t>pdf</t>
        </is>
      </c>
      <c r="I12" t="inlineStr">
        <is>
          <t>DOWNLOAD</t>
        </is>
      </c>
      <c r="J12" t="n">
        <v>0.21677875</v>
      </c>
      <c r="K12" t="inlineStr">
        <is>
          <t>Unread</t>
        </is>
      </c>
      <c r="L12" s="153" t="n">
        <v>46176.92764111111</v>
      </c>
      <c r="M12" t="inlineStr">
        <is>
          <t>69a985e9f64a7be93c355e17</t>
        </is>
      </c>
    </row>
    <row r="13">
      <c r="A13" t="inlineStr">
        <is>
          <t>Project Notos</t>
        </is>
      </c>
      <c r="B13" t="inlineStr">
        <is>
          <t>1.1.1.2.3</t>
        </is>
      </c>
      <c r="C13" s="15" t="inlineStr">
        <is>
          <t>ITT_Coordinate AoA_20230414</t>
        </is>
      </c>
      <c r="D13" s="20" t="inlineStr">
        <is>
          <t>Out-of-Scope</t>
        </is>
      </c>
      <c r="F13" s="151">
        <f>HYPERLINK("https://app.global.datasite.com/webviewer/?projectId=696652ec0dc07cc02daa26a0&amp;documentId=69a985e9f64a7be93c355e18","ITT_Coordinate AoA_20230414")</f>
        <v/>
      </c>
      <c r="G13" t="inlineStr">
        <is>
          <t>DOCUMENT</t>
        </is>
      </c>
      <c r="H13" t="inlineStr">
        <is>
          <t>pdf</t>
        </is>
      </c>
      <c r="I13" t="inlineStr">
        <is>
          <t>DOWNLOAD</t>
        </is>
      </c>
      <c r="J13" t="n">
        <v>0.21783828</v>
      </c>
      <c r="K13" t="inlineStr">
        <is>
          <t>Unread</t>
        </is>
      </c>
      <c r="L13" s="153" t="n">
        <v>46176.92764111111</v>
      </c>
      <c r="M13" t="inlineStr">
        <is>
          <t>69a985e9f64a7be93c355e18</t>
        </is>
      </c>
    </row>
    <row r="14">
      <c r="A14" t="inlineStr">
        <is>
          <t>Project Notos</t>
        </is>
      </c>
      <c r="B14" t="inlineStr">
        <is>
          <t>1.1.1.2.4</t>
        </is>
      </c>
      <c r="C14" s="15" t="inlineStr">
        <is>
          <t>ITT_Coordinate AoA_20240903</t>
        </is>
      </c>
      <c r="D14" s="20" t="inlineStr">
        <is>
          <t>Out-of-Scope</t>
        </is>
      </c>
      <c r="F14" s="151">
        <f>HYPERLINK("https://app.global.datasite.com/webviewer/?projectId=696652ec0dc07cc02daa26a0&amp;documentId=69a985e9f64a7be93c355e19","ITT_Coordinate AoA_20240903")</f>
        <v/>
      </c>
      <c r="G14" t="inlineStr">
        <is>
          <t>DOCUMENT</t>
        </is>
      </c>
      <c r="H14" t="inlineStr">
        <is>
          <t>pdf</t>
        </is>
      </c>
      <c r="I14" t="inlineStr">
        <is>
          <t>DOWNLOAD</t>
        </is>
      </c>
      <c r="J14" t="n">
        <v>0.09461688</v>
      </c>
      <c r="K14" t="inlineStr">
        <is>
          <t>Unread</t>
        </is>
      </c>
      <c r="L14" s="153" t="n">
        <v>46176.92764111111</v>
      </c>
      <c r="M14" t="inlineStr">
        <is>
          <t>69a985e9f64a7be93c355e19</t>
        </is>
      </c>
    </row>
    <row r="15">
      <c r="A15" t="inlineStr">
        <is>
          <t>Project Notos</t>
        </is>
      </c>
      <c r="B15" t="inlineStr">
        <is>
          <t>1.1.1.2.5</t>
        </is>
      </c>
      <c r="C15" s="15" t="inlineStr">
        <is>
          <t>ITT_Coordinate AoA_20251128</t>
        </is>
      </c>
      <c r="D15" s="20" t="inlineStr">
        <is>
          <t>Out-of-Scope</t>
        </is>
      </c>
      <c r="F15" s="151">
        <f>HYPERLINK("https://app.global.datasite.com/webviewer/?projectId=696652ec0dc07cc02daa26a0&amp;documentId=69a985e9f64a7be93c355e1a","ITT_Coordinate AoA_20251128")</f>
        <v/>
      </c>
      <c r="G15" t="inlineStr">
        <is>
          <t>DOCUMENT</t>
        </is>
      </c>
      <c r="H15" t="inlineStr">
        <is>
          <t>pdf</t>
        </is>
      </c>
      <c r="I15" t="inlineStr">
        <is>
          <t>DOWNLOAD</t>
        </is>
      </c>
      <c r="J15" t="n">
        <v>0.12870311</v>
      </c>
      <c r="K15" t="inlineStr">
        <is>
          <t>Unread</t>
        </is>
      </c>
      <c r="L15" s="153" t="n">
        <v>46176.92764111111</v>
      </c>
      <c r="M15" t="inlineStr">
        <is>
          <t>69a985e9f64a7be93c355e1a</t>
        </is>
      </c>
    </row>
    <row r="16">
      <c r="A16" t="inlineStr">
        <is>
          <t>Project Notos</t>
        </is>
      </c>
      <c r="B16" t="inlineStr">
        <is>
          <t>1.1.1.2.6</t>
        </is>
      </c>
      <c r="C16" s="15" t="inlineStr">
        <is>
          <t>ITT_Coordinate AoA_20221215</t>
        </is>
      </c>
      <c r="D16" s="20" t="inlineStr">
        <is>
          <t>Out-of-Scope</t>
        </is>
      </c>
      <c r="F16" s="151">
        <f>HYPERLINK("https://app.global.datasite.com/webviewer/?projectId=696652ec0dc07cc02daa26a0&amp;documentId=69a985e9f64a7be93c355e1b","ITT_Coordinate AoA_20221215")</f>
        <v/>
      </c>
      <c r="G16" t="inlineStr">
        <is>
          <t>DOCUMENT</t>
        </is>
      </c>
      <c r="H16" t="inlineStr">
        <is>
          <t>pdf</t>
        </is>
      </c>
      <c r="I16" t="inlineStr">
        <is>
          <t>DOWNLOAD</t>
        </is>
      </c>
      <c r="J16" t="n">
        <v>0.21759414</v>
      </c>
      <c r="K16" t="inlineStr">
        <is>
          <t>Unread</t>
        </is>
      </c>
      <c r="L16" s="153" t="n">
        <v>46176.92764111111</v>
      </c>
      <c r="M16" t="inlineStr">
        <is>
          <t>69a985e9f64a7be93c355e1b</t>
        </is>
      </c>
    </row>
    <row r="17">
      <c r="A17" t="inlineStr">
        <is>
          <t>Project Notos</t>
        </is>
      </c>
      <c r="B17" t="inlineStr">
        <is>
          <t>1.1.1.2.7</t>
        </is>
      </c>
      <c r="C17" s="15" t="inlineStr">
        <is>
          <t>ITT_Incorporation Deed_20200806</t>
        </is>
      </c>
      <c r="D17" s="20" t="inlineStr">
        <is>
          <t>Out-of-Scope</t>
        </is>
      </c>
      <c r="F17" s="151">
        <f>HYPERLINK("https://app.global.datasite.com/webviewer/?projectId=696652ec0dc07cc02daa26a0&amp;documentId=69a9868164b9d3ed57f2c5b4","ITT_Incorporation Deed_20200806")</f>
        <v/>
      </c>
      <c r="G17" t="inlineStr">
        <is>
          <t>DOCUMENT</t>
        </is>
      </c>
      <c r="H17" t="inlineStr">
        <is>
          <t>pdf</t>
        </is>
      </c>
      <c r="I17" t="inlineStr">
        <is>
          <t>DOWNLOAD</t>
        </is>
      </c>
      <c r="J17" t="n">
        <v>0.22005844</v>
      </c>
      <c r="K17" t="inlineStr">
        <is>
          <t>Unread</t>
        </is>
      </c>
      <c r="L17" s="153" t="n">
        <v>46176.92764111111</v>
      </c>
      <c r="M17" t="inlineStr">
        <is>
          <t>69a9868164b9d3ed57f2c5b4</t>
        </is>
      </c>
    </row>
    <row r="18">
      <c r="A18" t="inlineStr">
        <is>
          <t>Project Notos</t>
        </is>
      </c>
      <c r="B18" t="inlineStr">
        <is>
          <t>1.1.1.2.8</t>
        </is>
      </c>
      <c r="C18" t="inlineStr">
        <is>
          <t>ITT_statuts coordonnes 14.04.2026</t>
        </is>
      </c>
      <c r="D18" s="20" t="inlineStr">
        <is>
          <t>Out-of-Scope</t>
        </is>
      </c>
      <c r="F18" s="151" t="n">
        <v>0</v>
      </c>
      <c r="G18" t="inlineStr">
        <is>
          <t>DOCUMENT</t>
        </is>
      </c>
      <c r="H18" t="inlineStr">
        <is>
          <t>pdf</t>
        </is>
      </c>
      <c r="I18" t="inlineStr">
        <is>
          <t>DOWNLOAD</t>
        </is>
      </c>
      <c r="J18" t="n">
        <v>0.84334373</v>
      </c>
      <c r="K18" t="inlineStr">
        <is>
          <t>Unread</t>
        </is>
      </c>
      <c r="L18" s="153" t="n">
        <v>46181.59866055556</v>
      </c>
      <c r="M18" t="inlineStr">
        <is>
          <t>6a26b2a1fe0223eb45f010c4</t>
        </is>
      </c>
    </row>
    <row r="19">
      <c r="A19" s="149" t="inlineStr">
        <is>
          <t>Project Notos</t>
        </is>
      </c>
      <c r="B19" s="149" t="inlineStr">
        <is>
          <t>1.1.1.3</t>
        </is>
      </c>
      <c r="C19" s="17" t="inlineStr">
        <is>
          <t>Chain of title</t>
        </is>
      </c>
      <c r="D19" s="25" t="n"/>
      <c r="F19" s="150">
        <f>HYPERLINK("https://app.global.datasite.com/platform/container/696652ec0dc07cc02daa26a0/documents/content/index/698cb80e8a98cfb9f910d6fd","Chain of title")</f>
        <v/>
      </c>
      <c r="G19" s="149" t="inlineStr">
        <is>
          <t>FOLDER</t>
        </is>
      </c>
      <c r="H19" s="149" t="n"/>
      <c r="I19" s="149" t="inlineStr">
        <is>
          <t>DOWNLOAD</t>
        </is>
      </c>
      <c r="J19" s="149" t="n"/>
      <c r="K19" s="149" t="inlineStr">
        <is>
          <t>Unread</t>
        </is>
      </c>
      <c r="L19" s="152" t="n">
        <v>46176.92764111111</v>
      </c>
      <c r="M19" s="149" t="inlineStr">
        <is>
          <t>698cb80e8a98cfb9f910d6fd</t>
        </is>
      </c>
    </row>
    <row r="20">
      <c r="A20" t="inlineStr">
        <is>
          <t>Project Notos</t>
        </is>
      </c>
      <c r="B20" t="inlineStr">
        <is>
          <t>1.1.1.3.1</t>
        </is>
      </c>
      <c r="C20" s="15" t="inlineStr">
        <is>
          <t>ITT_Shareholders' register_Updated</t>
        </is>
      </c>
      <c r="D20" s="20" t="inlineStr">
        <is>
          <t>Out-of-Scope</t>
        </is>
      </c>
      <c r="F20" s="151">
        <f>HYPERLINK("https://app.global.datasite.com/webviewer/?projectId=696652ec0dc07cc02daa26a0&amp;documentId=69ba6848379ca3341b5ffb6a","ITT_Shareholders' register_Updated")</f>
        <v/>
      </c>
      <c r="G20" t="inlineStr">
        <is>
          <t>DOCUMENT</t>
        </is>
      </c>
      <c r="H20" t="inlineStr">
        <is>
          <t>pdf</t>
        </is>
      </c>
      <c r="I20" t="inlineStr">
        <is>
          <t>DOWNLOAD</t>
        </is>
      </c>
      <c r="J20" t="n">
        <v>0.36126804</v>
      </c>
      <c r="K20" t="inlineStr">
        <is>
          <t>Unread</t>
        </is>
      </c>
      <c r="L20" s="153" t="n">
        <v>46176.92764111111</v>
      </c>
      <c r="M20" t="inlineStr">
        <is>
          <t>69ba6848379ca3341b5ffb6a</t>
        </is>
      </c>
    </row>
    <row r="21">
      <c r="A21" t="inlineStr">
        <is>
          <t>Project Notos</t>
        </is>
      </c>
      <c r="B21" t="inlineStr">
        <is>
          <t>1.1.1.3.2</t>
        </is>
      </c>
      <c r="C21" s="15" t="inlineStr">
        <is>
          <t>ITT_shareholders register_20240726</t>
        </is>
      </c>
      <c r="D21" s="20" t="inlineStr">
        <is>
          <t>Out-of-Scope</t>
        </is>
      </c>
      <c r="F21" s="151">
        <f>HYPERLINK("https://app.global.datasite.com/webviewer/?projectId=696652ec0dc07cc02daa26a0&amp;documentId=69bd43092e2f239cf80f98e1","ITT_shareholders register_20240726")</f>
        <v/>
      </c>
      <c r="G21" t="inlineStr">
        <is>
          <t>DOCUMENT</t>
        </is>
      </c>
      <c r="H21" t="inlineStr">
        <is>
          <t>pdf</t>
        </is>
      </c>
      <c r="I21" t="inlineStr">
        <is>
          <t>DOWNLOAD</t>
        </is>
      </c>
      <c r="J21" t="n">
        <v>0.36000061</v>
      </c>
      <c r="K21" t="inlineStr">
        <is>
          <t>Unread</t>
        </is>
      </c>
      <c r="L21" s="153" t="n">
        <v>46176.92764111111</v>
      </c>
      <c r="M21" t="inlineStr">
        <is>
          <t>69bd43092e2f239cf80f98e1</t>
        </is>
      </c>
    </row>
    <row r="22">
      <c r="A22" s="149" t="inlineStr">
        <is>
          <t>Project Notos</t>
        </is>
      </c>
      <c r="B22" s="149" t="inlineStr">
        <is>
          <t>1.1.1.4</t>
        </is>
      </c>
      <c r="C22" s="17" t="inlineStr">
        <is>
          <t>Company agreements</t>
        </is>
      </c>
      <c r="D22" s="25" t="n"/>
      <c r="F22" s="150">
        <f>HYPERLINK("https://app.global.datasite.com/platform/container/696652ec0dc07cc02daa26a0/documents/content/index/69bd54ea139d20db65bb2a76","Company agreements")</f>
        <v/>
      </c>
      <c r="G22" s="149" t="inlineStr">
        <is>
          <t>FOLDER</t>
        </is>
      </c>
      <c r="H22" s="149" t="n"/>
      <c r="I22" s="149" t="inlineStr">
        <is>
          <t>DOWNLOAD</t>
        </is>
      </c>
      <c r="J22" s="149" t="n"/>
      <c r="K22" s="149" t="inlineStr">
        <is>
          <t>Unread</t>
        </is>
      </c>
      <c r="L22" s="152" t="n">
        <v>46176.92764111111</v>
      </c>
      <c r="M22" s="149" t="inlineStr">
        <is>
          <t>69bd54ea139d20db65bb2a76</t>
        </is>
      </c>
    </row>
    <row r="23">
      <c r="A23" t="inlineStr">
        <is>
          <t>Project Notos</t>
        </is>
      </c>
      <c r="B23" t="inlineStr">
        <is>
          <t>1.1.1.4.1</t>
        </is>
      </c>
      <c r="C23" s="15" t="inlineStr">
        <is>
          <t>ITT_IC Service Agreement IHE_240801</t>
        </is>
      </c>
      <c r="D23" s="20" t="inlineStr">
        <is>
          <t>Out-of-Scope</t>
        </is>
      </c>
      <c r="F23" s="151">
        <f>HYPERLINK("https://app.global.datasite.com/webviewer/?projectId=696652ec0dc07cc02daa26a0&amp;documentId=69c10a5076174ddbd7bbe085","ITT_IC Service Agreement IHE_240801")</f>
        <v/>
      </c>
      <c r="G23" t="inlineStr">
        <is>
          <t>DOCUMENT</t>
        </is>
      </c>
      <c r="H23" t="inlineStr">
        <is>
          <t>pdf</t>
        </is>
      </c>
      <c r="I23" t="inlineStr">
        <is>
          <t>DOWNLOAD</t>
        </is>
      </c>
      <c r="J23" t="n">
        <v>1.0553255</v>
      </c>
      <c r="K23" t="inlineStr">
        <is>
          <t>Unread</t>
        </is>
      </c>
      <c r="L23" s="153" t="n">
        <v>46176.92764111111</v>
      </c>
      <c r="M23" t="inlineStr">
        <is>
          <t>69c10a5076174ddbd7bbe085</t>
        </is>
      </c>
    </row>
    <row r="24">
      <c r="A24" t="inlineStr">
        <is>
          <t>Project Notos</t>
        </is>
      </c>
      <c r="B24" t="inlineStr">
        <is>
          <t>1.1.1.4.2</t>
        </is>
      </c>
      <c r="C24" s="15" t="inlineStr">
        <is>
          <t>ITT_IC Service Agreement IHE_240919</t>
        </is>
      </c>
      <c r="D24" s="20" t="inlineStr">
        <is>
          <t>Out-of-Scope</t>
        </is>
      </c>
      <c r="F24" s="151">
        <f>HYPERLINK("https://app.global.datasite.com/webviewer/?projectId=696652ec0dc07cc02daa26a0&amp;documentId=69c10a5076174ddbd7bbe086","ITT_IC Service Agreement IHE_240919")</f>
        <v/>
      </c>
      <c r="G24" t="inlineStr">
        <is>
          <t>DOCUMENT</t>
        </is>
      </c>
      <c r="H24" t="inlineStr">
        <is>
          <t>pdf</t>
        </is>
      </c>
      <c r="I24" t="inlineStr">
        <is>
          <t>DOWNLOAD</t>
        </is>
      </c>
      <c r="J24" t="n">
        <v>0.39025974</v>
      </c>
      <c r="K24" t="inlineStr">
        <is>
          <t>Unread</t>
        </is>
      </c>
      <c r="L24" s="153" t="n">
        <v>46176.92764111111</v>
      </c>
      <c r="M24" t="inlineStr">
        <is>
          <t>69c10a5076174ddbd7bbe086</t>
        </is>
      </c>
    </row>
    <row r="25">
      <c r="A25" s="149" t="inlineStr">
        <is>
          <t>Project Notos</t>
        </is>
      </c>
      <c r="B25" s="149" t="inlineStr">
        <is>
          <t>1.1.1.5</t>
        </is>
      </c>
      <c r="C25" s="17" t="inlineStr">
        <is>
          <t>Shareholder resolutions</t>
        </is>
      </c>
      <c r="D25" s="25" t="n"/>
      <c r="F25" s="150">
        <f>HYPERLINK("https://app.global.datasite.com/platform/container/696652ec0dc07cc02daa26a0/documents/content/index/698cb8065a2feb6155811b16","Shareholder resolutions")</f>
        <v/>
      </c>
      <c r="G25" s="149" t="inlineStr">
        <is>
          <t>FOLDER</t>
        </is>
      </c>
      <c r="H25" s="149" t="n"/>
      <c r="I25" s="149" t="inlineStr">
        <is>
          <t>DOWNLOAD</t>
        </is>
      </c>
      <c r="J25" s="149" t="n"/>
      <c r="K25" s="149" t="inlineStr">
        <is>
          <t>Unread</t>
        </is>
      </c>
      <c r="L25" s="152" t="n">
        <v>46176.92764111111</v>
      </c>
      <c r="M25" s="149" t="inlineStr">
        <is>
          <t>698cb8065a2feb6155811b16</t>
        </is>
      </c>
    </row>
    <row r="26">
      <c r="A26" t="inlineStr">
        <is>
          <t>Project Notos</t>
        </is>
      </c>
      <c r="B26" t="inlineStr">
        <is>
          <t>1.1.1.5.1</t>
        </is>
      </c>
      <c r="C26" s="15" t="inlineStr">
        <is>
          <t>ITT_SR_EUR 36M capital increase_221215</t>
        </is>
      </c>
      <c r="D26" s="20" t="inlineStr">
        <is>
          <t>Out-of-Scope</t>
        </is>
      </c>
      <c r="F26" s="151">
        <f>HYPERLINK("https://app.global.datasite.com/webviewer/?projectId=696652ec0dc07cc02daa26a0&amp;documentId=69a047f66655c3bd4742fcae","ITT_SR_EUR 36M capital increase_221215")</f>
        <v/>
      </c>
      <c r="G26" t="inlineStr">
        <is>
          <t>DOCUMENT</t>
        </is>
      </c>
      <c r="H26" t="inlineStr">
        <is>
          <t>pdf</t>
        </is>
      </c>
      <c r="I26" t="inlineStr">
        <is>
          <t>DOWNLOAD</t>
        </is>
      </c>
      <c r="J26" t="n">
        <v>1.78005409</v>
      </c>
      <c r="K26" t="inlineStr">
        <is>
          <t>Unread</t>
        </is>
      </c>
      <c r="L26" s="153" t="n">
        <v>46176.92764111111</v>
      </c>
      <c r="M26" t="inlineStr">
        <is>
          <t>69a047f66655c3bd4742fcae</t>
        </is>
      </c>
    </row>
    <row r="27">
      <c r="A27" t="inlineStr">
        <is>
          <t>Project Notos</t>
        </is>
      </c>
      <c r="B27" t="inlineStr">
        <is>
          <t>1.1.1.5.2</t>
        </is>
      </c>
      <c r="C27" s="15" t="inlineStr">
        <is>
          <t>ITT_SR_POA share capital increase_221213</t>
        </is>
      </c>
      <c r="D27" s="20" t="inlineStr">
        <is>
          <t>Out-of-Scope</t>
        </is>
      </c>
      <c r="F27" s="151">
        <f>HYPERLINK("https://app.global.datasite.com/webviewer/?projectId=696652ec0dc07cc02daa26a0&amp;documentId=69a047f66655c3bd4742fcaf","ITT_SR_POA share capital increase_221213")</f>
        <v/>
      </c>
      <c r="G27" t="inlineStr">
        <is>
          <t>DOCUMENT</t>
        </is>
      </c>
      <c r="H27" t="inlineStr">
        <is>
          <t>pdf</t>
        </is>
      </c>
      <c r="I27" t="inlineStr">
        <is>
          <t>DOWNLOAD</t>
        </is>
      </c>
      <c r="J27" t="n">
        <v>0.54752826</v>
      </c>
      <c r="K27" t="inlineStr">
        <is>
          <t>Unread</t>
        </is>
      </c>
      <c r="L27" s="153" t="n">
        <v>46176.92764111111</v>
      </c>
      <c r="M27" t="inlineStr">
        <is>
          <t>69a047f66655c3bd4742fcaf</t>
        </is>
      </c>
    </row>
    <row r="28">
      <c r="A28" t="inlineStr">
        <is>
          <t>Project Notos</t>
        </is>
      </c>
      <c r="B28" t="inlineStr">
        <is>
          <t>1.1.1.5.3</t>
        </is>
      </c>
      <c r="C28" s="15" t="inlineStr">
        <is>
          <t>ITT_SR_POA share capital increase_230222</t>
        </is>
      </c>
      <c r="D28" s="20" t="inlineStr">
        <is>
          <t>Out-of-Scope</t>
        </is>
      </c>
      <c r="F28" s="151">
        <f>HYPERLINK("https://app.global.datasite.com/webviewer/?projectId=696652ec0dc07cc02daa26a0&amp;documentId=69a0488374322950d4148205","ITT_SR_POA share capital increase_230222")</f>
        <v/>
      </c>
      <c r="G28" t="inlineStr">
        <is>
          <t>DOCUMENT</t>
        </is>
      </c>
      <c r="H28" t="inlineStr">
        <is>
          <t>pdf</t>
        </is>
      </c>
      <c r="I28" t="inlineStr">
        <is>
          <t>DOWNLOAD</t>
        </is>
      </c>
      <c r="J28" t="n">
        <v>0.51017665</v>
      </c>
      <c r="K28" t="inlineStr">
        <is>
          <t>Unread</t>
        </is>
      </c>
      <c r="L28" s="153" t="n">
        <v>46176.92764111111</v>
      </c>
      <c r="M28" t="inlineStr">
        <is>
          <t>69a0488374322950d4148205</t>
        </is>
      </c>
    </row>
    <row r="29">
      <c r="A29" t="inlineStr">
        <is>
          <t>Project Notos</t>
        </is>
      </c>
      <c r="B29" t="inlineStr">
        <is>
          <t>1.1.1.5.4</t>
        </is>
      </c>
      <c r="C29" s="15" t="inlineStr">
        <is>
          <t>ITT_SR_EUR 12M capital increase_230224</t>
        </is>
      </c>
      <c r="D29" s="20" t="inlineStr">
        <is>
          <t>Out-of-Scope</t>
        </is>
      </c>
      <c r="F29" s="151">
        <f>HYPERLINK("https://app.global.datasite.com/webviewer/?projectId=696652ec0dc07cc02daa26a0&amp;documentId=69a0488374322950d4148206","ITT_SR_EUR 12M capital increase_230224")</f>
        <v/>
      </c>
      <c r="G29" t="inlineStr">
        <is>
          <t>DOCUMENT</t>
        </is>
      </c>
      <c r="H29" t="inlineStr">
        <is>
          <t>pdf</t>
        </is>
      </c>
      <c r="I29" t="inlineStr">
        <is>
          <t>DOWNLOAD</t>
        </is>
      </c>
      <c r="J29" t="n">
        <v>1.83700084</v>
      </c>
      <c r="K29" t="inlineStr">
        <is>
          <t>Unread</t>
        </is>
      </c>
      <c r="L29" s="153" t="n">
        <v>46176.92764111111</v>
      </c>
      <c r="M29" t="inlineStr">
        <is>
          <t>69a0488374322950d4148206</t>
        </is>
      </c>
    </row>
    <row r="30">
      <c r="A30" t="inlineStr">
        <is>
          <t>Project Notos</t>
        </is>
      </c>
      <c r="B30" t="inlineStr">
        <is>
          <t>1.1.1.5.5</t>
        </is>
      </c>
      <c r="C30" s="15" t="inlineStr">
        <is>
          <t>ITT_SR_POA capital injection_230410</t>
        </is>
      </c>
      <c r="D30" s="20" t="inlineStr">
        <is>
          <t>Out-of-Scope</t>
        </is>
      </c>
      <c r="F30" s="151">
        <f>HYPERLINK("https://app.global.datasite.com/webviewer/?projectId=696652ec0dc07cc02daa26a0&amp;documentId=69a04906dbc47589819aeb2a","ITT_SR_POA capital injection_230410")</f>
        <v/>
      </c>
      <c r="G30" t="inlineStr">
        <is>
          <t>DOCUMENT</t>
        </is>
      </c>
      <c r="H30" t="inlineStr">
        <is>
          <t>pdf</t>
        </is>
      </c>
      <c r="I30" t="inlineStr">
        <is>
          <t>DOWNLOAD</t>
        </is>
      </c>
      <c r="J30" t="n">
        <v>0.5228424</v>
      </c>
      <c r="K30" t="inlineStr">
        <is>
          <t>Unread</t>
        </is>
      </c>
      <c r="L30" s="153" t="n">
        <v>46176.92764111111</v>
      </c>
      <c r="M30" t="inlineStr">
        <is>
          <t>69a04906dbc47589819aeb2a</t>
        </is>
      </c>
    </row>
    <row r="31">
      <c r="A31" t="inlineStr">
        <is>
          <t>Project Notos</t>
        </is>
      </c>
      <c r="B31" t="inlineStr">
        <is>
          <t>1.1.1.5.6</t>
        </is>
      </c>
      <c r="C31" s="15" t="inlineStr">
        <is>
          <t>ITT_SR_EUR 72M capital increase_230414</t>
        </is>
      </c>
      <c r="D31" s="20" t="inlineStr">
        <is>
          <t>Out-of-Scope</t>
        </is>
      </c>
      <c r="F31" s="151">
        <f>HYPERLINK("https://app.global.datasite.com/webviewer/?projectId=696652ec0dc07cc02daa26a0&amp;documentId=69a04906dbc47589819aeb2b","ITT_SR_EUR 72M capital increase_230414")</f>
        <v/>
      </c>
      <c r="G31" t="inlineStr">
        <is>
          <t>DOCUMENT</t>
        </is>
      </c>
      <c r="H31" t="inlineStr">
        <is>
          <t>pdf</t>
        </is>
      </c>
      <c r="I31" t="inlineStr">
        <is>
          <t>DOWNLOAD</t>
        </is>
      </c>
      <c r="J31" t="n">
        <v>1.90854549</v>
      </c>
      <c r="K31" t="inlineStr">
        <is>
          <t>Unread</t>
        </is>
      </c>
      <c r="L31" s="153" t="n">
        <v>46176.92764111111</v>
      </c>
      <c r="M31" t="inlineStr">
        <is>
          <t>69a04906dbc47589819aeb2b</t>
        </is>
      </c>
    </row>
    <row r="32">
      <c r="A32" t="inlineStr">
        <is>
          <t>Project Notos</t>
        </is>
      </c>
      <c r="B32" t="inlineStr">
        <is>
          <t>1.1.1.5.7</t>
        </is>
      </c>
      <c r="C32" s="15" t="inlineStr">
        <is>
          <t>ITT_SR_conclusion_Polish branch_221017</t>
        </is>
      </c>
      <c r="D32" s="20" t="inlineStr">
        <is>
          <t>Out-of-Scope</t>
        </is>
      </c>
      <c r="F32" s="151">
        <f>HYPERLINK("https://app.global.datasite.com/webviewer/?projectId=696652ec0dc07cc02daa26a0&amp;documentId=69a04978dbc47589819aeb48","ITT_SR_conclusion_Polish branch_221017")</f>
        <v/>
      </c>
      <c r="G32" t="inlineStr">
        <is>
          <t>DOCUMENT</t>
        </is>
      </c>
      <c r="H32" t="inlineStr">
        <is>
          <t>pdf</t>
        </is>
      </c>
      <c r="I32" t="inlineStr">
        <is>
          <t>DOWNLOAD</t>
        </is>
      </c>
      <c r="J32" t="n">
        <v>0.45443153</v>
      </c>
      <c r="K32" t="inlineStr">
        <is>
          <t>Unread</t>
        </is>
      </c>
      <c r="L32" s="153" t="n">
        <v>46176.92764111111</v>
      </c>
      <c r="M32" t="inlineStr">
        <is>
          <t>69a04978dbc47589819aeb48</t>
        </is>
      </c>
    </row>
    <row r="33">
      <c r="A33" t="inlineStr">
        <is>
          <t>Project Notos</t>
        </is>
      </c>
      <c r="B33" t="inlineStr">
        <is>
          <t>1.1.1.5.8</t>
        </is>
      </c>
      <c r="C33" s="15" t="inlineStr">
        <is>
          <t>ITT_SR_appointment auditor_Polish branch re fy 22 and 23_221223</t>
        </is>
      </c>
      <c r="D33" s="20" t="inlineStr">
        <is>
          <t>Out-of-Scope</t>
        </is>
      </c>
      <c r="F33" s="151">
        <f>HYPERLINK("https://app.global.datasite.com/webviewer/?projectId=696652ec0dc07cc02daa26a0&amp;documentId=69a04978dbc47589819aeb49","ITT_SR_appointment auditor_Polish branch re fy 22 and 23_221223")</f>
        <v/>
      </c>
      <c r="G33" t="inlineStr">
        <is>
          <t>DOCUMENT</t>
        </is>
      </c>
      <c r="H33" t="inlineStr">
        <is>
          <t>pdf</t>
        </is>
      </c>
      <c r="I33" t="inlineStr">
        <is>
          <t>DOWNLOAD</t>
        </is>
      </c>
      <c r="J33" t="n">
        <v>0.53002452</v>
      </c>
      <c r="K33" t="inlineStr">
        <is>
          <t>Unread</t>
        </is>
      </c>
      <c r="L33" s="153" t="n">
        <v>46176.92764111111</v>
      </c>
      <c r="M33" t="inlineStr">
        <is>
          <t>69a04978dbc47589819aeb49</t>
        </is>
      </c>
    </row>
    <row r="34">
      <c r="A34" t="inlineStr">
        <is>
          <t>Project Notos</t>
        </is>
      </c>
      <c r="B34" t="inlineStr">
        <is>
          <t>1.1.1.5.9</t>
        </is>
      </c>
      <c r="C34" s="15" t="inlineStr">
        <is>
          <t>ITT_SR_change of class B manager_230112</t>
        </is>
      </c>
      <c r="D34" s="20" t="inlineStr">
        <is>
          <t>Out-of-Scope</t>
        </is>
      </c>
      <c r="F34" s="151">
        <f>HYPERLINK("https://app.global.datasite.com/webviewer/?projectId=696652ec0dc07cc02daa26a0&amp;documentId=69a04978dbc47589819aeb4a","ITT_SR_change of class B manager_230112")</f>
        <v/>
      </c>
      <c r="G34" t="inlineStr">
        <is>
          <t>DOCUMENT</t>
        </is>
      </c>
      <c r="H34" t="inlineStr">
        <is>
          <t>pdf</t>
        </is>
      </c>
      <c r="I34" t="inlineStr">
        <is>
          <t>DOWNLOAD</t>
        </is>
      </c>
      <c r="J34" t="n">
        <v>0.61408901</v>
      </c>
      <c r="K34" t="inlineStr">
        <is>
          <t>Unread</t>
        </is>
      </c>
      <c r="L34" s="153" t="n">
        <v>46176.92764111111</v>
      </c>
      <c r="M34" t="inlineStr">
        <is>
          <t>69a04978dbc47589819aeb4a</t>
        </is>
      </c>
    </row>
    <row r="35">
      <c r="A35" t="inlineStr">
        <is>
          <t>Project Notos</t>
        </is>
      </c>
      <c r="B35" t="inlineStr">
        <is>
          <t>1.1.1.5.10</t>
        </is>
      </c>
      <c r="C35" s="15" t="inlineStr">
        <is>
          <t>ITT_amendment AoA _240730</t>
        </is>
      </c>
      <c r="D35" s="20" t="inlineStr">
        <is>
          <t>Out-of-Scope</t>
        </is>
      </c>
      <c r="F35" s="151">
        <f>HYPERLINK("https://app.global.datasite.com/webviewer/?projectId=696652ec0dc07cc02daa26a0&amp;documentId=69a06b34d4619de720b77192","ITT_amendment AoA _240730")</f>
        <v/>
      </c>
      <c r="G35" t="inlineStr">
        <is>
          <t>DOCUMENT</t>
        </is>
      </c>
      <c r="H35" t="inlineStr">
        <is>
          <t>pdf</t>
        </is>
      </c>
      <c r="I35" t="inlineStr">
        <is>
          <t>DOWNLOAD</t>
        </is>
      </c>
      <c r="J35" t="n">
        <v>2.3805685</v>
      </c>
      <c r="K35" t="inlineStr">
        <is>
          <t>Unread</t>
        </is>
      </c>
      <c r="L35" s="153" t="n">
        <v>46176.92764111111</v>
      </c>
      <c r="M35" t="inlineStr">
        <is>
          <t>69a06b34d4619de720b77192</t>
        </is>
      </c>
    </row>
    <row r="36">
      <c r="A36" t="inlineStr">
        <is>
          <t>Project Notos</t>
        </is>
      </c>
      <c r="B36" t="inlineStr">
        <is>
          <t>1.1.1.5.11</t>
        </is>
      </c>
      <c r="C36" s="15" t="inlineStr">
        <is>
          <t>ITT_SR_appointment new MDs_240726</t>
        </is>
      </c>
      <c r="D36" s="20" t="inlineStr">
        <is>
          <t>Out-of-Scope</t>
        </is>
      </c>
      <c r="F36" s="151">
        <f>HYPERLINK("https://app.global.datasite.com/webviewer/?projectId=696652ec0dc07cc02daa26a0&amp;documentId=69a06d7d0b057a2e2ad5d432","ITT_SR_appointment new MDs_240726")</f>
        <v/>
      </c>
      <c r="G36" t="inlineStr">
        <is>
          <t>DOCUMENT</t>
        </is>
      </c>
      <c r="H36" t="inlineStr">
        <is>
          <t>pdf</t>
        </is>
      </c>
      <c r="I36" t="inlineStr">
        <is>
          <t>DOWNLOAD</t>
        </is>
      </c>
      <c r="J36" t="n">
        <v>0.71760368</v>
      </c>
      <c r="K36" t="inlineStr">
        <is>
          <t>Unread</t>
        </is>
      </c>
      <c r="L36" s="153" t="n">
        <v>46176.92764111111</v>
      </c>
      <c r="M36" t="inlineStr">
        <is>
          <t>69a06d7d0b057a2e2ad5d432</t>
        </is>
      </c>
    </row>
    <row r="37">
      <c r="A37" t="inlineStr">
        <is>
          <t>Project Notos</t>
        </is>
      </c>
      <c r="B37" t="inlineStr">
        <is>
          <t>1.1.1.5.12</t>
        </is>
      </c>
      <c r="C37" s="15" t="inlineStr">
        <is>
          <t>ITT_EGM re Capital Increase and AoA amendment_20221215</t>
        </is>
      </c>
      <c r="D37" s="20" t="inlineStr">
        <is>
          <t>Out-of-Scope</t>
        </is>
      </c>
      <c r="F37" s="151">
        <f>HYPERLINK("https://app.global.datasite.com/webviewer/?projectId=696652ec0dc07cc02daa26a0&amp;documentId=69a9866a6655c3bd4747a4f5","ITT_EGM re Capital Increase and AoA amendment_20221215")</f>
        <v/>
      </c>
      <c r="G37" t="inlineStr">
        <is>
          <t>DOCUMENT</t>
        </is>
      </c>
      <c r="H37" t="inlineStr">
        <is>
          <t>pdf</t>
        </is>
      </c>
      <c r="I37" t="inlineStr">
        <is>
          <t>DOWNLOAD</t>
        </is>
      </c>
      <c r="J37" t="n">
        <v>0.17322158</v>
      </c>
      <c r="K37" t="inlineStr">
        <is>
          <t>Unread</t>
        </is>
      </c>
      <c r="L37" s="153" t="n">
        <v>46176.92764111111</v>
      </c>
      <c r="M37" t="inlineStr">
        <is>
          <t>69a9866a6655c3bd4747a4f5</t>
        </is>
      </c>
    </row>
    <row r="38">
      <c r="A38" t="inlineStr">
        <is>
          <t>Project Notos</t>
        </is>
      </c>
      <c r="B38" t="inlineStr">
        <is>
          <t>1.1.1.5.13</t>
        </is>
      </c>
      <c r="C38" s="15" t="inlineStr">
        <is>
          <t>ITT_EGM re Capital Increase and AoA amendment_20230224</t>
        </is>
      </c>
      <c r="D38" s="20" t="inlineStr">
        <is>
          <t>Out-of-Scope</t>
        </is>
      </c>
      <c r="F38" s="151">
        <f>HYPERLINK("https://app.global.datasite.com/webviewer/?projectId=696652ec0dc07cc02daa26a0&amp;documentId=69a9866a6655c3bd4747a4f6","ITT_EGM re Capital Increase and AoA amendment_20230224")</f>
        <v/>
      </c>
      <c r="G38" t="inlineStr">
        <is>
          <t>DOCUMENT</t>
        </is>
      </c>
      <c r="H38" t="inlineStr">
        <is>
          <t>pdf</t>
        </is>
      </c>
      <c r="I38" t="inlineStr">
        <is>
          <t>DOWNLOAD</t>
        </is>
      </c>
      <c r="J38" t="n">
        <v>0.17378425</v>
      </c>
      <c r="K38" t="inlineStr">
        <is>
          <t>Unread</t>
        </is>
      </c>
      <c r="L38" s="153" t="n">
        <v>46176.92764111111</v>
      </c>
      <c r="M38" t="inlineStr">
        <is>
          <t>69a9866a6655c3bd4747a4f6</t>
        </is>
      </c>
    </row>
    <row r="39">
      <c r="A39" t="inlineStr">
        <is>
          <t>Project Notos</t>
        </is>
      </c>
      <c r="B39" t="inlineStr">
        <is>
          <t>1.1.1.5.14</t>
        </is>
      </c>
      <c r="C39" s="15" t="inlineStr">
        <is>
          <t>ITT_EGM re Capital Increase and AoA amendment_20230414</t>
        </is>
      </c>
      <c r="D39" s="20" t="inlineStr">
        <is>
          <t>Out-of-Scope</t>
        </is>
      </c>
      <c r="F39" s="151">
        <f>HYPERLINK("https://app.global.datasite.com/webviewer/?projectId=696652ec0dc07cc02daa26a0&amp;documentId=69a9866a6655c3bd4747a4f7","ITT_EGM re Capital Increase and AoA amendment_20230414")</f>
        <v/>
      </c>
      <c r="G39" t="inlineStr">
        <is>
          <t>DOCUMENT</t>
        </is>
      </c>
      <c r="H39" t="inlineStr">
        <is>
          <t>pdf</t>
        </is>
      </c>
      <c r="I39" t="inlineStr">
        <is>
          <t>DOWNLOAD</t>
        </is>
      </c>
      <c r="J39" t="n">
        <v>0.1705408</v>
      </c>
      <c r="K39" t="inlineStr">
        <is>
          <t>Unread</t>
        </is>
      </c>
      <c r="L39" s="153" t="n">
        <v>46176.92764111111</v>
      </c>
      <c r="M39" t="inlineStr">
        <is>
          <t>69a9866a6655c3bd4747a4f7</t>
        </is>
      </c>
    </row>
    <row r="40">
      <c r="A40" t="inlineStr">
        <is>
          <t>Project Notos</t>
        </is>
      </c>
      <c r="B40" t="inlineStr">
        <is>
          <t>1.1.1.5.15</t>
        </is>
      </c>
      <c r="C40" s="15" t="inlineStr">
        <is>
          <t>ITT_EGM re Rebranding_20251128</t>
        </is>
      </c>
      <c r="D40" s="20" t="inlineStr">
        <is>
          <t>Out-of-Scope</t>
        </is>
      </c>
      <c r="F40" s="151">
        <f>HYPERLINK("https://app.global.datasite.com/webviewer/?projectId=696652ec0dc07cc02daa26a0&amp;documentId=69a9866a6655c3bd4747a4f8","ITT_EGM re Rebranding_20251128")</f>
        <v/>
      </c>
      <c r="G40" t="inlineStr">
        <is>
          <t>DOCUMENT</t>
        </is>
      </c>
      <c r="H40" t="inlineStr">
        <is>
          <t>pdf</t>
        </is>
      </c>
      <c r="I40" t="inlineStr">
        <is>
          <t>DOWNLOAD</t>
        </is>
      </c>
      <c r="J40" t="n">
        <v>0.46432495</v>
      </c>
      <c r="K40" t="inlineStr">
        <is>
          <t>Unread</t>
        </is>
      </c>
      <c r="L40" s="153" t="n">
        <v>46176.92764111111</v>
      </c>
      <c r="M40" t="inlineStr">
        <is>
          <t>69a9866a6655c3bd4747a4f8</t>
        </is>
      </c>
    </row>
    <row r="41">
      <c r="A41" t="inlineStr">
        <is>
          <t>Project Notos</t>
        </is>
      </c>
      <c r="B41" t="inlineStr">
        <is>
          <t>1.1.1.5.16</t>
        </is>
      </c>
      <c r="C41" s="15" t="inlineStr">
        <is>
          <t>ITT_EGM re AoA amendment_20240730</t>
        </is>
      </c>
      <c r="D41" s="20" t="inlineStr">
        <is>
          <t>Out-of-Scope</t>
        </is>
      </c>
      <c r="F41" s="151">
        <f>HYPERLINK("https://app.global.datasite.com/webviewer/?projectId=696652ec0dc07cc02daa26a0&amp;documentId=69a9866a6655c3bd4747a4f9","ITT_EGM re AoA amendment_20240730")</f>
        <v/>
      </c>
      <c r="G41" t="inlineStr">
        <is>
          <t>DOCUMENT</t>
        </is>
      </c>
      <c r="H41" t="inlineStr">
        <is>
          <t>pdf</t>
        </is>
      </c>
      <c r="I41" t="inlineStr">
        <is>
          <t>DOWNLOAD</t>
        </is>
      </c>
      <c r="J41" t="n">
        <v>0.47771644</v>
      </c>
      <c r="K41" t="inlineStr">
        <is>
          <t>Unread</t>
        </is>
      </c>
      <c r="L41" s="153" t="n">
        <v>46176.92764111111</v>
      </c>
      <c r="M41" t="inlineStr">
        <is>
          <t>69a9866a6655c3bd4747a4f9</t>
        </is>
      </c>
    </row>
    <row r="42">
      <c r="A42" t="inlineStr">
        <is>
          <t>Project Notos</t>
        </is>
      </c>
      <c r="B42" t="inlineStr">
        <is>
          <t>1.1.1.5.17</t>
        </is>
      </c>
      <c r="C42" s="15" t="inlineStr">
        <is>
          <t>ITT_SH Resolutions_Manager Removal_20250108</t>
        </is>
      </c>
      <c r="D42" s="20" t="inlineStr">
        <is>
          <t>Out-of-Scope</t>
        </is>
      </c>
      <c r="F42" s="151">
        <f>HYPERLINK("https://app.global.datasite.com/webviewer/?projectId=696652ec0dc07cc02daa26a0&amp;documentId=69a986fbd11488dffd88c447","ITT_SH Resolutions_Manager Removal_20250108")</f>
        <v/>
      </c>
      <c r="G42" t="inlineStr">
        <is>
          <t>DOCUMENT</t>
        </is>
      </c>
      <c r="H42" t="inlineStr">
        <is>
          <t>pdf</t>
        </is>
      </c>
      <c r="I42" t="inlineStr">
        <is>
          <t>DOWNLOAD</t>
        </is>
      </c>
      <c r="J42" t="n">
        <v>0.25474548</v>
      </c>
      <c r="K42" t="inlineStr">
        <is>
          <t>Unread</t>
        </is>
      </c>
      <c r="L42" s="153" t="n">
        <v>46176.92764111111</v>
      </c>
      <c r="M42" t="inlineStr">
        <is>
          <t>69a986fbd11488dffd88c447</t>
        </is>
      </c>
    </row>
    <row r="43">
      <c r="A43" t="inlineStr">
        <is>
          <t>Project Notos</t>
        </is>
      </c>
      <c r="B43" t="inlineStr">
        <is>
          <t>1.1.1.5.18</t>
        </is>
      </c>
      <c r="C43" s="15" t="inlineStr">
        <is>
          <t>ITT_SH Resolutions_Managers Appointment-Resignation - Proxy bank accounts_20240726</t>
        </is>
      </c>
      <c r="D43" s="20" t="inlineStr">
        <is>
          <t>Out-of-Scope</t>
        </is>
      </c>
      <c r="F43" s="151">
        <f>HYPERLINK("https://app.global.datasite.com/webviewer/?projectId=696652ec0dc07cc02daa26a0&amp;documentId=69a986fbd11488dffd88c448","ITT_SH Resolutions_Managers Appointment-Resignation - Proxy bank accounts_20240726")</f>
        <v/>
      </c>
      <c r="G43" t="inlineStr">
        <is>
          <t>DOCUMENT</t>
        </is>
      </c>
      <c r="H43" t="inlineStr">
        <is>
          <t>pdf</t>
        </is>
      </c>
      <c r="I43" t="inlineStr">
        <is>
          <t>DOWNLOAD</t>
        </is>
      </c>
      <c r="J43" t="n">
        <v>0.75583457</v>
      </c>
      <c r="K43" t="inlineStr">
        <is>
          <t>Unread</t>
        </is>
      </c>
      <c r="L43" s="153" t="n">
        <v>46176.92764111111</v>
      </c>
      <c r="M43" t="inlineStr">
        <is>
          <t>69a986fbd11488dffd88c448</t>
        </is>
      </c>
    </row>
    <row r="44">
      <c r="A44" t="inlineStr">
        <is>
          <t>Project Notos</t>
        </is>
      </c>
      <c r="B44" t="inlineStr">
        <is>
          <t>1.1.1.5.19</t>
        </is>
      </c>
      <c r="C44" s="15" t="inlineStr">
        <is>
          <t>ITT_Board Resolutions_Shares Sale_20240726</t>
        </is>
      </c>
      <c r="D44" s="20" t="inlineStr">
        <is>
          <t>Out-of-Scope</t>
        </is>
      </c>
      <c r="F44" s="151">
        <f>HYPERLINK("https://app.global.datasite.com/webviewer/?projectId=696652ec0dc07cc02daa26a0&amp;documentId=69a96a7820e1824fe9563b66","ITT_Board Resolutions_Shares Sale_20240726")</f>
        <v/>
      </c>
      <c r="G44" t="inlineStr">
        <is>
          <t>DOCUMENT</t>
        </is>
      </c>
      <c r="H44" t="inlineStr">
        <is>
          <t>pdf</t>
        </is>
      </c>
      <c r="I44" t="inlineStr">
        <is>
          <t>DOWNLOAD</t>
        </is>
      </c>
      <c r="J44" t="n">
        <v>3.23006629</v>
      </c>
      <c r="K44" t="inlineStr">
        <is>
          <t>Unread</t>
        </is>
      </c>
      <c r="L44" s="153" t="n">
        <v>46176.92764111111</v>
      </c>
      <c r="M44" t="inlineStr">
        <is>
          <t>69a96a7820e1824fe9563b66</t>
        </is>
      </c>
    </row>
    <row r="45">
      <c r="A45" t="inlineStr">
        <is>
          <t>Project Notos</t>
        </is>
      </c>
      <c r="B45" t="inlineStr">
        <is>
          <t>1.1.1.5.20</t>
        </is>
      </c>
      <c r="C45" s="15" t="inlineStr">
        <is>
          <t>ITT_RCS extract_20260311</t>
        </is>
      </c>
      <c r="D45" s="20" t="inlineStr">
        <is>
          <t>Out-of-Scope</t>
        </is>
      </c>
      <c r="F45" s="151">
        <f>HYPERLINK("https://app.global.datasite.com/webviewer/?projectId=696652ec0dc07cc02daa26a0&amp;documentId=69b1407c240d271b4ce0a587","ITT_RCS extract_20260311")</f>
        <v/>
      </c>
      <c r="G45" t="inlineStr">
        <is>
          <t>DOCUMENT</t>
        </is>
      </c>
      <c r="H45" t="inlineStr">
        <is>
          <t>pdf</t>
        </is>
      </c>
      <c r="I45" t="inlineStr">
        <is>
          <t>DOWNLOAD</t>
        </is>
      </c>
      <c r="J45" t="n">
        <v>0.28092193</v>
      </c>
      <c r="K45" t="inlineStr">
        <is>
          <t>Unread</t>
        </is>
      </c>
      <c r="L45" s="153" t="n">
        <v>46176.92764111111</v>
      </c>
      <c r="M45" t="inlineStr">
        <is>
          <t>69b1407c240d271b4ce0a587</t>
        </is>
      </c>
    </row>
    <row r="46">
      <c r="A46" t="inlineStr">
        <is>
          <t>Project Notos</t>
        </is>
      </c>
      <c r="B46" t="inlineStr">
        <is>
          <t>1.1.1.5.21</t>
        </is>
      </c>
      <c r="C46" s="15" t="inlineStr">
        <is>
          <t>ITT_BoD resolution_share sale_240726</t>
        </is>
      </c>
      <c r="D46" s="20" t="inlineStr">
        <is>
          <t>Out-of-Scope</t>
        </is>
      </c>
      <c r="F46" s="151">
        <f>HYPERLINK("https://app.global.datasite.com/webviewer/?projectId=696652ec0dc07cc02daa26a0&amp;documentId=69bd3d1cc52e188afc9a4dd3","ITT_BoD resolution_share sale_240726")</f>
        <v/>
      </c>
      <c r="G46" t="inlineStr">
        <is>
          <t>DOCUMENT</t>
        </is>
      </c>
      <c r="H46" t="inlineStr">
        <is>
          <t>pdf</t>
        </is>
      </c>
      <c r="I46" t="inlineStr">
        <is>
          <t>DOWNLOAD</t>
        </is>
      </c>
      <c r="J46" t="n">
        <v>3.21885204</v>
      </c>
      <c r="K46" t="inlineStr">
        <is>
          <t>Unread</t>
        </is>
      </c>
      <c r="L46" s="153" t="n">
        <v>46176.92764111111</v>
      </c>
      <c r="M46" t="inlineStr">
        <is>
          <t>69bd3d1cc52e188afc9a4dd3</t>
        </is>
      </c>
    </row>
    <row r="47">
      <c r="A47" t="inlineStr">
        <is>
          <t>Project Notos</t>
        </is>
      </c>
      <c r="B47" t="inlineStr">
        <is>
          <t>1.1.1.5.22</t>
        </is>
      </c>
      <c r="C47" s="15" t="inlineStr">
        <is>
          <t>ITT_BoD resolution management change_250415</t>
        </is>
      </c>
      <c r="D47" s="20" t="inlineStr">
        <is>
          <t>Out-of-Scope</t>
        </is>
      </c>
      <c r="F47" s="151">
        <f>HYPERLINK("https://app.global.datasite.com/webviewer/?projectId=696652ec0dc07cc02daa26a0&amp;documentId=69bd3d1cc52e188afc9a4dd4","ITT_BoD resolution management change_250415")</f>
        <v/>
      </c>
      <c r="G47" t="inlineStr">
        <is>
          <t>DOCUMENT</t>
        </is>
      </c>
      <c r="H47" t="inlineStr">
        <is>
          <t>pdf</t>
        </is>
      </c>
      <c r="I47" t="inlineStr">
        <is>
          <t>DOWNLOAD</t>
        </is>
      </c>
      <c r="J47" t="n">
        <v>1.81125164</v>
      </c>
      <c r="K47" t="inlineStr">
        <is>
          <t>Unread</t>
        </is>
      </c>
      <c r="L47" s="153" t="n">
        <v>46176.92764111111</v>
      </c>
      <c r="M47" t="inlineStr">
        <is>
          <t>69bd3d1cc52e188afc9a4dd4</t>
        </is>
      </c>
    </row>
    <row r="48">
      <c r="A48" t="inlineStr">
        <is>
          <t>Project Notos</t>
        </is>
      </c>
      <c r="B48" t="inlineStr">
        <is>
          <t>1.1.1.5.23</t>
        </is>
      </c>
      <c r="C48" s="15" t="inlineStr">
        <is>
          <t>ITT_EGM_AoA Amendment Daily Manager_20260414</t>
        </is>
      </c>
      <c r="D48" s="20" t="inlineStr">
        <is>
          <t>Out-of-Scope</t>
        </is>
      </c>
      <c r="F48" s="151">
        <f>HYPERLINK("https://app.global.datasite.com/webviewer/?projectId=696652ec0dc07cc02daa26a0&amp;documentId=69e220c6d45b6ad49acf4f44","ITT_EGM_AoA Amendment Daily Manager_20260414")</f>
        <v/>
      </c>
      <c r="G48" t="inlineStr">
        <is>
          <t>DOCUMENT</t>
        </is>
      </c>
      <c r="H48" t="inlineStr">
        <is>
          <t>pdf</t>
        </is>
      </c>
      <c r="I48" t="inlineStr">
        <is>
          <t>DOWNLOAD</t>
        </is>
      </c>
      <c r="J48" t="n">
        <v>0.20900344</v>
      </c>
      <c r="K48" t="inlineStr">
        <is>
          <t>Unread</t>
        </is>
      </c>
      <c r="L48" s="153" t="n">
        <v>46176.92764111111</v>
      </c>
      <c r="M48" t="inlineStr">
        <is>
          <t>69e220c6d45b6ad49acf4f44</t>
        </is>
      </c>
    </row>
    <row r="49">
      <c r="A49" s="149" t="inlineStr">
        <is>
          <t>Project Notos</t>
        </is>
      </c>
      <c r="B49" s="149" t="inlineStr">
        <is>
          <t>1.1.1.6</t>
        </is>
      </c>
      <c r="C49" s="17" t="inlineStr">
        <is>
          <t>Board resolutions</t>
        </is>
      </c>
      <c r="D49" s="25" t="n"/>
      <c r="F49" s="150">
        <f>HYPERLINK("https://app.global.datasite.com/platform/container/696652ec0dc07cc02daa26a0/documents/content/index/69c41adade0718c1a06ae91f","Board resolutions")</f>
        <v/>
      </c>
      <c r="G49" s="149" t="inlineStr">
        <is>
          <t>FOLDER</t>
        </is>
      </c>
      <c r="H49" s="149" t="n"/>
      <c r="I49" s="149" t="inlineStr">
        <is>
          <t>DOWNLOAD</t>
        </is>
      </c>
      <c r="J49" s="149" t="n"/>
      <c r="K49" s="149" t="inlineStr">
        <is>
          <t>Unread</t>
        </is>
      </c>
      <c r="L49" s="152" t="n">
        <v>46176.92764111111</v>
      </c>
      <c r="M49" s="149" t="inlineStr">
        <is>
          <t>69c41adade0718c1a06ae91f</t>
        </is>
      </c>
    </row>
    <row r="50">
      <c r="A50" t="inlineStr">
        <is>
          <t>Project Notos</t>
        </is>
      </c>
      <c r="B50" t="inlineStr">
        <is>
          <t>1.1.1.6.1</t>
        </is>
      </c>
      <c r="C50" s="15" t="inlineStr">
        <is>
          <t>ITT_BR_supplier payments_2020</t>
        </is>
      </c>
      <c r="D50" s="20" t="inlineStr">
        <is>
          <t>Out-of-Scope</t>
        </is>
      </c>
      <c r="F50" s="151">
        <f>HYPERLINK("https://app.global.datasite.com/webviewer/?projectId=696652ec0dc07cc02daa26a0&amp;documentId=69a02cc074322950d4147a2f","ITT_BR_supplier payments_2020")</f>
        <v/>
      </c>
      <c r="G50" t="inlineStr">
        <is>
          <t>DOCUMENT</t>
        </is>
      </c>
      <c r="H50" t="inlineStr">
        <is>
          <t>pdf</t>
        </is>
      </c>
      <c r="I50" t="inlineStr">
        <is>
          <t>DOWNLOAD</t>
        </is>
      </c>
      <c r="J50" t="n">
        <v>1.98711872</v>
      </c>
      <c r="K50" t="inlineStr">
        <is>
          <t>Unread</t>
        </is>
      </c>
      <c r="L50" s="153" t="n">
        <v>46176.92764111111</v>
      </c>
      <c r="M50" t="inlineStr">
        <is>
          <t>69a02cc074322950d4147a2f</t>
        </is>
      </c>
    </row>
    <row r="51">
      <c r="A51" t="inlineStr">
        <is>
          <t>Project Notos</t>
        </is>
      </c>
      <c r="B51" t="inlineStr">
        <is>
          <t>1.1.1.6.2</t>
        </is>
      </c>
      <c r="C51" s="15" t="inlineStr">
        <is>
          <t>ITT_BR_change of directors_2021</t>
        </is>
      </c>
      <c r="D51" s="20" t="inlineStr">
        <is>
          <t>Out-of-Scope</t>
        </is>
      </c>
      <c r="F51" s="151">
        <f>HYPERLINK("https://app.global.datasite.com/webviewer/?projectId=696652ec0dc07cc02daa26a0&amp;documentId=69a0422a08cffd1f622e9330","ITT_BR_change of directors_2021")</f>
        <v/>
      </c>
      <c r="G51" t="inlineStr">
        <is>
          <t>DOCUMENT</t>
        </is>
      </c>
      <c r="H51" t="inlineStr">
        <is>
          <t>pdf</t>
        </is>
      </c>
      <c r="I51" t="inlineStr">
        <is>
          <t>DOWNLOAD</t>
        </is>
      </c>
      <c r="J51" t="n">
        <v>1.50971126</v>
      </c>
      <c r="K51" t="inlineStr">
        <is>
          <t>Unread</t>
        </is>
      </c>
      <c r="L51" s="153" t="n">
        <v>46176.92764111111</v>
      </c>
      <c r="M51" t="inlineStr">
        <is>
          <t>69a0422a08cffd1f622e9330</t>
        </is>
      </c>
    </row>
    <row r="52">
      <c r="A52" t="inlineStr">
        <is>
          <t>Project Notos</t>
        </is>
      </c>
      <c r="B52" t="inlineStr">
        <is>
          <t>1.1.1.6.3</t>
        </is>
      </c>
      <c r="C52" s="15" t="inlineStr">
        <is>
          <t>ITT_BR_consent Innerio transaction_240726</t>
        </is>
      </c>
      <c r="D52" s="20" t="inlineStr">
        <is>
          <t>Out-of-Scope</t>
        </is>
      </c>
      <c r="F52" s="151">
        <f>HYPERLINK("https://app.global.datasite.com/webviewer/?projectId=696652ec0dc07cc02daa26a0&amp;documentId=69a069608fd171c4104615e9","ITT_BR_consent Innerio transaction_240726")</f>
        <v/>
      </c>
      <c r="G52" t="inlineStr">
        <is>
          <t>DOCUMENT</t>
        </is>
      </c>
      <c r="H52" t="inlineStr">
        <is>
          <t>pdf</t>
        </is>
      </c>
      <c r="I52" t="inlineStr">
        <is>
          <t>DOWNLOAD</t>
        </is>
      </c>
      <c r="J52" t="n">
        <v>2.27531909</v>
      </c>
      <c r="K52" t="inlineStr">
        <is>
          <t>Unread</t>
        </is>
      </c>
      <c r="L52" s="153" t="n">
        <v>46176.92764111111</v>
      </c>
      <c r="M52" t="inlineStr">
        <is>
          <t>69a069608fd171c4104615e9</t>
        </is>
      </c>
    </row>
    <row r="53">
      <c r="A53" t="inlineStr">
        <is>
          <t>Project Notos</t>
        </is>
      </c>
      <c r="B53" t="inlineStr">
        <is>
          <t>1.1.1.6.4</t>
        </is>
      </c>
      <c r="C53" s="15" t="inlineStr">
        <is>
          <t>ITT_BoD resolution_SH Register_20260317 - change of shareholders' register</t>
        </is>
      </c>
      <c r="D53" s="20" t="inlineStr">
        <is>
          <t>Out-of-Scope</t>
        </is>
      </c>
      <c r="F53" s="151">
        <f>HYPERLINK("https://app.global.datasite.com/webviewer/?projectId=696652ec0dc07cc02daa26a0&amp;documentId=69ba86fb5246c56f2abde660","ITT_BoD resolution_SH Register_20260317 - change of shareholders' register")</f>
        <v/>
      </c>
      <c r="G53" t="inlineStr">
        <is>
          <t>DOCUMENT</t>
        </is>
      </c>
      <c r="H53" t="inlineStr">
        <is>
          <t>pdf</t>
        </is>
      </c>
      <c r="I53" t="inlineStr">
        <is>
          <t>DOWNLOAD</t>
        </is>
      </c>
      <c r="J53" t="n">
        <v>0.24507141</v>
      </c>
      <c r="K53" t="inlineStr">
        <is>
          <t>Unread</t>
        </is>
      </c>
      <c r="L53" s="153" t="n">
        <v>46176.92764111111</v>
      </c>
      <c r="M53" t="inlineStr">
        <is>
          <t>69ba86fb5246c56f2abde660</t>
        </is>
      </c>
    </row>
    <row r="54">
      <c r="A54" s="149" t="inlineStr">
        <is>
          <t>Project Notos</t>
        </is>
      </c>
      <c r="B54" s="149" t="inlineStr">
        <is>
          <t>1.1.1.7</t>
        </is>
      </c>
      <c r="C54" s="17" t="inlineStr">
        <is>
          <t>Business license</t>
        </is>
      </c>
      <c r="D54" s="25" t="n"/>
      <c r="F54" s="150">
        <f>HYPERLINK("https://app.global.datasite.com/platform/container/696652ec0dc07cc02daa26a0/documents/content/index/69ea34c6e2ed08028535ce53","Business license")</f>
        <v/>
      </c>
      <c r="G54" s="149" t="inlineStr">
        <is>
          <t>FOLDER</t>
        </is>
      </c>
      <c r="H54" s="149" t="n"/>
      <c r="I54" s="149" t="inlineStr">
        <is>
          <t>DOWNLOAD</t>
        </is>
      </c>
      <c r="J54" s="149" t="n"/>
      <c r="K54" s="149" t="inlineStr">
        <is>
          <t>Unread</t>
        </is>
      </c>
      <c r="L54" s="152" t="n">
        <v>46176.92764111111</v>
      </c>
      <c r="M54" s="149" t="inlineStr">
        <is>
          <t>69ea34c6e2ed08028535ce53</t>
        </is>
      </c>
    </row>
    <row r="55">
      <c r="A55" t="inlineStr">
        <is>
          <t>Project Notos</t>
        </is>
      </c>
      <c r="B55" t="inlineStr">
        <is>
          <t>1.1.1.7.1</t>
        </is>
      </c>
      <c r="C55" s="15" t="inlineStr">
        <is>
          <t>ITT_business license_230414</t>
        </is>
      </c>
      <c r="D55" s="20" t="inlineStr">
        <is>
          <t>Out-of-Scope</t>
        </is>
      </c>
      <c r="F55" s="151">
        <f>HYPERLINK("https://app.global.datasite.com/webviewer/?projectId=696652ec0dc07cc02daa26a0&amp;documentId=69a04f150b057a2e2ad5cdbd","ITT_business license_230414")</f>
        <v/>
      </c>
      <c r="G55" t="inlineStr">
        <is>
          <t>DOCUMENT</t>
        </is>
      </c>
      <c r="H55" t="inlineStr">
        <is>
          <t>pdf</t>
        </is>
      </c>
      <c r="I55" t="inlineStr">
        <is>
          <t>DOWNLOAD</t>
        </is>
      </c>
      <c r="J55" t="n">
        <v>2.37315845</v>
      </c>
      <c r="K55" t="inlineStr">
        <is>
          <t>Unread</t>
        </is>
      </c>
      <c r="L55" s="153" t="n">
        <v>46176.92764111111</v>
      </c>
      <c r="M55" t="inlineStr">
        <is>
          <t>69a04f150b057a2e2ad5cdbd</t>
        </is>
      </c>
    </row>
    <row r="56">
      <c r="A56" s="149" t="inlineStr">
        <is>
          <t>Project Notos</t>
        </is>
      </c>
      <c r="B56" s="149" t="inlineStr">
        <is>
          <t>1.1.1.8</t>
        </is>
      </c>
      <c r="C56" s="17" t="inlineStr">
        <is>
          <t>HT Holdings Transaction</t>
        </is>
      </c>
      <c r="D56" s="25" t="n"/>
      <c r="F56" s="150">
        <f>HYPERLINK("https://app.global.datasite.com/platform/container/696652ec0dc07cc02daa26a0/documents/content/index/69ea3e58bd60a3ae610acd8e","HT Holdings Transaction")</f>
        <v/>
      </c>
      <c r="G56" s="149" t="inlineStr">
        <is>
          <t>FOLDER</t>
        </is>
      </c>
      <c r="H56" s="149" t="n"/>
      <c r="I56" s="149" t="inlineStr">
        <is>
          <t>DOWNLOAD</t>
        </is>
      </c>
      <c r="J56" s="149" t="n"/>
      <c r="K56" s="149" t="inlineStr">
        <is>
          <t>Unread</t>
        </is>
      </c>
      <c r="L56" s="152" t="n">
        <v>46176.92764111111</v>
      </c>
      <c r="M56" s="149" t="inlineStr">
        <is>
          <t>69ea3e58bd60a3ae610acd8e</t>
        </is>
      </c>
    </row>
    <row r="57">
      <c r="A57" t="inlineStr">
        <is>
          <t>Project Notos</t>
        </is>
      </c>
      <c r="B57" t="inlineStr">
        <is>
          <t>1.1.1.8.1</t>
        </is>
      </c>
      <c r="C57" s="15" t="inlineStr">
        <is>
          <t>ITT_asset transfer agreement (LUX assets) ht holding_200831</t>
        </is>
      </c>
      <c r="D57" s="20" t="inlineStr">
        <is>
          <t>Out-of-Scope</t>
        </is>
      </c>
      <c r="F57" s="151">
        <f>HYPERLINK("https://app.global.datasite.com/webviewer/?projectId=696652ec0dc07cc02daa26a0&amp;documentId=69bd3d72c52e188afc9a4dee","ITT_asset transfer agreement (LUX assets) ht holding_200831")</f>
        <v/>
      </c>
      <c r="G57" t="inlineStr">
        <is>
          <t>DOCUMENT</t>
        </is>
      </c>
      <c r="H57" t="inlineStr">
        <is>
          <t>pdf</t>
        </is>
      </c>
      <c r="I57" t="inlineStr">
        <is>
          <t>DOWNLOAD</t>
        </is>
      </c>
      <c r="J57" t="n">
        <v>0.29230403</v>
      </c>
      <c r="K57" t="inlineStr">
        <is>
          <t>Unread</t>
        </is>
      </c>
      <c r="L57" s="153" t="n">
        <v>46176.92764111111</v>
      </c>
      <c r="M57" t="inlineStr">
        <is>
          <t>69bd3d72c52e188afc9a4dee</t>
        </is>
      </c>
    </row>
    <row r="58">
      <c r="A58" t="inlineStr">
        <is>
          <t>Project Notos</t>
        </is>
      </c>
      <c r="B58" t="inlineStr">
        <is>
          <t>1.1.1.8.2</t>
        </is>
      </c>
      <c r="C58" s="15" t="inlineStr">
        <is>
          <t>ITT_schedule A (LUX)_200831</t>
        </is>
      </c>
      <c r="D58" s="20" t="inlineStr">
        <is>
          <t>Out-of-Scope</t>
        </is>
      </c>
      <c r="F58" s="151">
        <f>HYPERLINK("https://app.global.datasite.com/webviewer/?projectId=696652ec0dc07cc02daa26a0&amp;documentId=69bd3d72c52e188afc9a4deb","ITT_schedule A (LUX)_200831")</f>
        <v/>
      </c>
      <c r="G58" t="inlineStr">
        <is>
          <t>DOCUMENT</t>
        </is>
      </c>
      <c r="H58" t="inlineStr">
        <is>
          <t>pdf</t>
        </is>
      </c>
      <c r="I58" t="inlineStr">
        <is>
          <t>DOWNLOAD</t>
        </is>
      </c>
      <c r="J58" t="n">
        <v>0.15534019</v>
      </c>
      <c r="K58" t="inlineStr">
        <is>
          <t>Unread</t>
        </is>
      </c>
      <c r="L58" s="153" t="n">
        <v>46176.92764111111</v>
      </c>
      <c r="M58" t="inlineStr">
        <is>
          <t>69bd3d72c52e188afc9a4deb</t>
        </is>
      </c>
    </row>
    <row r="59">
      <c r="A59" t="inlineStr">
        <is>
          <t>Project Notos</t>
        </is>
      </c>
      <c r="B59" t="inlineStr">
        <is>
          <t>1.1.1.8.3</t>
        </is>
      </c>
      <c r="C59" s="15" t="inlineStr">
        <is>
          <t>ITT_supplemental agreement (LUX assets)_230413</t>
        </is>
      </c>
      <c r="D59" s="20" t="inlineStr">
        <is>
          <t>Out-of-Scope</t>
        </is>
      </c>
      <c r="F59" s="151">
        <f>HYPERLINK("https://app.global.datasite.com/webviewer/?projectId=696652ec0dc07cc02daa26a0&amp;documentId=69bd3d8cd52e3d657312a1a0","ITT_supplemental agreement (LUX assets)_230413")</f>
        <v/>
      </c>
      <c r="G59" t="inlineStr">
        <is>
          <t>DOCUMENT</t>
        </is>
      </c>
      <c r="H59" t="inlineStr">
        <is>
          <t>pdf</t>
        </is>
      </c>
      <c r="I59" t="inlineStr">
        <is>
          <t>DOWNLOAD</t>
        </is>
      </c>
      <c r="J59" t="n">
        <v>1.66823673</v>
      </c>
      <c r="K59" t="inlineStr">
        <is>
          <t>Unread</t>
        </is>
      </c>
      <c r="L59" s="153" t="n">
        <v>46176.92764111111</v>
      </c>
      <c r="M59" t="inlineStr">
        <is>
          <t>69bd3d8cd52e3d657312a1a0</t>
        </is>
      </c>
    </row>
    <row r="60">
      <c r="A60" t="inlineStr">
        <is>
          <t>Project Notos</t>
        </is>
      </c>
      <c r="B60" t="inlineStr">
        <is>
          <t>1.1.1.8.4</t>
        </is>
      </c>
      <c r="C60" s="15" t="inlineStr">
        <is>
          <t>ITT_schedule A (LUX)_230413</t>
        </is>
      </c>
      <c r="D60" s="20" t="inlineStr">
        <is>
          <t>Out-of-Scope</t>
        </is>
      </c>
      <c r="F60" s="151">
        <f>HYPERLINK("https://app.global.datasite.com/webviewer/?projectId=696652ec0dc07cc02daa26a0&amp;documentId=69bd3d72c52e188afc9a4dec","ITT_schedule A (LUX)_230413")</f>
        <v/>
      </c>
      <c r="G60" t="inlineStr">
        <is>
          <t>DOCUMENT</t>
        </is>
      </c>
      <c r="H60" t="inlineStr">
        <is>
          <t>pdf</t>
        </is>
      </c>
      <c r="I60" t="inlineStr">
        <is>
          <t>DOWNLOAD</t>
        </is>
      </c>
      <c r="J60" t="n">
        <v>0.23515033</v>
      </c>
      <c r="K60" t="inlineStr">
        <is>
          <t>Unread</t>
        </is>
      </c>
      <c r="L60" s="153" t="n">
        <v>46176.92764111111</v>
      </c>
      <c r="M60" t="inlineStr">
        <is>
          <t>69bd3d72c52e188afc9a4dec</t>
        </is>
      </c>
    </row>
    <row r="61">
      <c r="A61" t="inlineStr">
        <is>
          <t>Project Notos</t>
        </is>
      </c>
      <c r="B61" t="inlineStr">
        <is>
          <t>1.1.1.8.5</t>
        </is>
      </c>
      <c r="C61" s="15" t="inlineStr">
        <is>
          <t>ITT_asset transfer agreement (R&amp;D, production, Poland) ht holding_200831</t>
        </is>
      </c>
      <c r="D61" s="20" t="inlineStr">
        <is>
          <t>Out-of-Scope</t>
        </is>
      </c>
      <c r="F61" s="151">
        <f>HYPERLINK("https://app.global.datasite.com/webviewer/?projectId=696652ec0dc07cc02daa26a0&amp;documentId=69bd3dbecbf7144146ad3eac","ITT_asset transfer agreement (R&amp;D, production, Poland) ht holding_200831")</f>
        <v/>
      </c>
      <c r="G61" t="inlineStr">
        <is>
          <t>DOCUMENT</t>
        </is>
      </c>
      <c r="H61" t="inlineStr">
        <is>
          <t>pdf</t>
        </is>
      </c>
      <c r="I61" t="inlineStr">
        <is>
          <t>DOWNLOAD</t>
        </is>
      </c>
      <c r="J61" t="n">
        <v>1.1181097</v>
      </c>
      <c r="K61" t="inlineStr">
        <is>
          <t>Unread</t>
        </is>
      </c>
      <c r="L61" s="153" t="n">
        <v>46176.92764111111</v>
      </c>
      <c r="M61" t="inlineStr">
        <is>
          <t>69bd3dbecbf7144146ad3eac</t>
        </is>
      </c>
    </row>
    <row r="62">
      <c r="A62" t="inlineStr">
        <is>
          <t>Project Notos</t>
        </is>
      </c>
      <c r="B62" t="inlineStr">
        <is>
          <t>1.1.1.8.6</t>
        </is>
      </c>
      <c r="C62" s="15" t="inlineStr">
        <is>
          <t>ITT_schedule A (Poland)_201001</t>
        </is>
      </c>
      <c r="D62" s="20" t="inlineStr">
        <is>
          <t>Out-of-Scope</t>
        </is>
      </c>
      <c r="F62" s="151">
        <f>HYPERLINK("https://app.global.datasite.com/webviewer/?projectId=696652ec0dc07cc02daa26a0&amp;documentId=69bd3d72c52e188afc9a4dea","ITT_schedule A (Poland)_201001")</f>
        <v/>
      </c>
      <c r="G62" t="inlineStr">
        <is>
          <t>DOCUMENT</t>
        </is>
      </c>
      <c r="H62" t="inlineStr">
        <is>
          <t>pdf</t>
        </is>
      </c>
      <c r="I62" t="inlineStr">
        <is>
          <t>DOWNLOAD</t>
        </is>
      </c>
      <c r="J62" t="n">
        <v>0.14014053</v>
      </c>
      <c r="K62" t="inlineStr">
        <is>
          <t>Unread</t>
        </is>
      </c>
      <c r="L62" s="153" t="n">
        <v>46176.92764111111</v>
      </c>
      <c r="M62" t="inlineStr">
        <is>
          <t>69bd3d72c52e188afc9a4dea</t>
        </is>
      </c>
    </row>
    <row r="63">
      <c r="A63" t="inlineStr">
        <is>
          <t>Project Notos</t>
        </is>
      </c>
      <c r="B63" t="inlineStr">
        <is>
          <t>1.1.1.8.7</t>
        </is>
      </c>
      <c r="C63" s="15" t="inlineStr">
        <is>
          <t>ITT_supplemental agreement (add. R&amp;D assets)_201123</t>
        </is>
      </c>
      <c r="D63" s="20" t="inlineStr">
        <is>
          <t>Out-of-Scope</t>
        </is>
      </c>
      <c r="F63" s="151">
        <f>HYPERLINK("https://app.global.datasite.com/webviewer/?projectId=696652ec0dc07cc02daa26a0&amp;documentId=69bd3daf0263c4fdde732f59","ITT_supplemental agreement (add. R&amp;D assets)_201123")</f>
        <v/>
      </c>
      <c r="G63" t="inlineStr">
        <is>
          <t>DOCUMENT</t>
        </is>
      </c>
      <c r="H63" t="inlineStr">
        <is>
          <t>pdf</t>
        </is>
      </c>
      <c r="I63" t="inlineStr">
        <is>
          <t>DOWNLOAD</t>
        </is>
      </c>
      <c r="J63" t="n">
        <v>1.1856966</v>
      </c>
      <c r="K63" t="inlineStr">
        <is>
          <t>Unread</t>
        </is>
      </c>
      <c r="L63" s="153" t="n">
        <v>46176.92764111111</v>
      </c>
      <c r="M63" t="inlineStr">
        <is>
          <t>69bd3daf0263c4fdde732f59</t>
        </is>
      </c>
    </row>
    <row r="64">
      <c r="A64" t="inlineStr">
        <is>
          <t>Project Notos</t>
        </is>
      </c>
      <c r="B64" t="inlineStr">
        <is>
          <t>1.1.1.8.8</t>
        </is>
      </c>
      <c r="C64" s="15" t="inlineStr">
        <is>
          <t>ITT_supplemental agreement (add. assets)_230413</t>
        </is>
      </c>
      <c r="D64" s="20" t="inlineStr">
        <is>
          <t>Out-of-Scope</t>
        </is>
      </c>
      <c r="F64" s="151">
        <f>HYPERLINK("https://app.global.datasite.com/webviewer/?projectId=696652ec0dc07cc02daa26a0&amp;documentId=69bd3d8cd52e3d657312a1a1","ITT_supplemental agreement (add. assets)_230413")</f>
        <v/>
      </c>
      <c r="G64" t="inlineStr">
        <is>
          <t>DOCUMENT</t>
        </is>
      </c>
      <c r="H64" t="inlineStr">
        <is>
          <t>pdf</t>
        </is>
      </c>
      <c r="I64" t="inlineStr">
        <is>
          <t>DOWNLOAD</t>
        </is>
      </c>
      <c r="J64" t="n">
        <v>1.67137241</v>
      </c>
      <c r="K64" t="inlineStr">
        <is>
          <t>Unread</t>
        </is>
      </c>
      <c r="L64" s="153" t="n">
        <v>46176.92764111111</v>
      </c>
      <c r="M64" t="inlineStr">
        <is>
          <t>69bd3d8cd52e3d657312a1a1</t>
        </is>
      </c>
    </row>
    <row r="65">
      <c r="A65" t="inlineStr">
        <is>
          <t>Project Notos</t>
        </is>
      </c>
      <c r="B65" t="inlineStr">
        <is>
          <t>1.1.1.8.9</t>
        </is>
      </c>
      <c r="C65" s="15" t="inlineStr">
        <is>
          <t>ITT_updated schedule A (Poland)_230413</t>
        </is>
      </c>
      <c r="D65" s="20" t="inlineStr">
        <is>
          <t>Out-of-Scope</t>
        </is>
      </c>
      <c r="F65" s="151">
        <f>HYPERLINK("https://app.global.datasite.com/webviewer/?projectId=696652ec0dc07cc02daa26a0&amp;documentId=69bd3d72c52e188afc9a4ded","ITT_updated schedule A (Poland)_230413")</f>
        <v/>
      </c>
      <c r="G65" t="inlineStr">
        <is>
          <t>DOCUMENT</t>
        </is>
      </c>
      <c r="H65" t="inlineStr">
        <is>
          <t>pdf</t>
        </is>
      </c>
      <c r="I65" t="inlineStr">
        <is>
          <t>DOWNLOAD</t>
        </is>
      </c>
      <c r="J65" t="n">
        <v>0.23459243</v>
      </c>
      <c r="K65" t="inlineStr">
        <is>
          <t>Unread</t>
        </is>
      </c>
      <c r="L65" s="153" t="n">
        <v>46176.92764111111</v>
      </c>
      <c r="M65" t="inlineStr">
        <is>
          <t>69bd3d72c52e188afc9a4ded</t>
        </is>
      </c>
    </row>
    <row r="66">
      <c r="A66" t="inlineStr">
        <is>
          <t>Project Notos</t>
        </is>
      </c>
      <c r="B66" t="inlineStr">
        <is>
          <t>1.1.1.9</t>
        </is>
      </c>
      <c r="C66" s="15" t="inlineStr">
        <is>
          <t>ITT_description of any significant events of the Company since its setup</t>
        </is>
      </c>
      <c r="D66" s="20" t="inlineStr">
        <is>
          <t>Out-of-Scope</t>
        </is>
      </c>
      <c r="F66" s="151">
        <f>HYPERLINK("https://app.global.datasite.com/webviewer/?projectId=696652ec0dc07cc02daa26a0&amp;documentId=69a04df020e1824fe950c92e","ITT_description of any significant events of the Company since its setup")</f>
        <v/>
      </c>
      <c r="G66" t="inlineStr">
        <is>
          <t>DOCUMENT</t>
        </is>
      </c>
      <c r="H66" t="inlineStr">
        <is>
          <t>pdf</t>
        </is>
      </c>
      <c r="I66" t="inlineStr">
        <is>
          <t>DOWNLOAD</t>
        </is>
      </c>
      <c r="J66" t="n">
        <v>0.04664516</v>
      </c>
      <c r="K66" t="inlineStr">
        <is>
          <t>Unread</t>
        </is>
      </c>
      <c r="L66" s="153" t="n">
        <v>46176.92764111111</v>
      </c>
      <c r="M66" t="inlineStr">
        <is>
          <t>69a04df020e1824fe950c92e</t>
        </is>
      </c>
    </row>
    <row r="67">
      <c r="A67" t="inlineStr">
        <is>
          <t>Project Notos</t>
        </is>
      </c>
      <c r="B67" t="inlineStr">
        <is>
          <t>1.1.1.10</t>
        </is>
      </c>
      <c r="C67" s="15" t="inlineStr">
        <is>
          <t>ITT_overview office locations</t>
        </is>
      </c>
      <c r="D67" s="20" t="inlineStr">
        <is>
          <t>Out-of-Scope</t>
        </is>
      </c>
      <c r="F67" s="151">
        <f>HYPERLINK("https://app.global.datasite.com/webviewer/?projectId=696652ec0dc07cc02daa26a0&amp;documentId=69dfd16cc845873926ced8d1","ITT_overview office locations")</f>
        <v/>
      </c>
      <c r="G67" t="inlineStr">
        <is>
          <t>DOCUMENT</t>
        </is>
      </c>
      <c r="H67" t="inlineStr">
        <is>
          <t>xlsm</t>
        </is>
      </c>
      <c r="I67" t="inlineStr">
        <is>
          <t>DOWNLOAD</t>
        </is>
      </c>
      <c r="J67" t="n">
        <v>0.14176273</v>
      </c>
      <c r="K67" t="inlineStr">
        <is>
          <t>Unread</t>
        </is>
      </c>
      <c r="L67" s="153" t="n">
        <v>46176.92764111111</v>
      </c>
      <c r="M67" t="inlineStr">
        <is>
          <t>69dfd16cc845873926ced8d1</t>
        </is>
      </c>
    </row>
    <row r="68">
      <c r="A68" s="149" t="inlineStr">
        <is>
          <t>Project Notos</t>
        </is>
      </c>
      <c r="B68" s="149" t="inlineStr">
        <is>
          <t>1.1.2</t>
        </is>
      </c>
      <c r="C68" s="17" t="inlineStr">
        <is>
          <t>Financing</t>
        </is>
      </c>
      <c r="D68" s="25" t="n"/>
      <c r="F68" s="150">
        <f>HYPERLINK("https://app.global.datasite.com/platform/container/696652ec0dc07cc02daa26a0/documents/content/index/69bc0b11eff3769089ac175c","Financing")</f>
        <v/>
      </c>
      <c r="G68" s="149" t="inlineStr">
        <is>
          <t>FOLDER</t>
        </is>
      </c>
      <c r="H68" s="149" t="n"/>
      <c r="I68" s="149" t="inlineStr">
        <is>
          <t>DOWNLOAD</t>
        </is>
      </c>
      <c r="J68" s="149" t="n"/>
      <c r="K68" s="149" t="inlineStr">
        <is>
          <t>Unread</t>
        </is>
      </c>
      <c r="L68" s="152" t="n">
        <v>46176.92764111111</v>
      </c>
      <c r="M68" s="149" t="inlineStr">
        <is>
          <t>69bc0b11eff3769089ac175c</t>
        </is>
      </c>
    </row>
    <row r="69">
      <c r="A69" t="inlineStr">
        <is>
          <t>Project Notos</t>
        </is>
      </c>
      <c r="B69" t="inlineStr">
        <is>
          <t>1.1.2.1</t>
        </is>
      </c>
      <c r="C69" s="15" t="inlineStr">
        <is>
          <t>ITT_shareholder loan agreement_240726</t>
        </is>
      </c>
      <c r="D69" s="23" t="inlineStr">
        <is>
          <t>PSH / DSN / TOR</t>
        </is>
      </c>
      <c r="E69" s="35" t="n"/>
      <c r="F69" s="151">
        <f>HYPERLINK("https://app.global.datasite.com/webviewer/?projectId=696652ec0dc07cc02daa26a0&amp;documentId=69a0653ff70f155eeacfb662","ITT_shareholder loan agreement_240726")</f>
        <v/>
      </c>
      <c r="G69" t="inlineStr">
        <is>
          <t>DOCUMENT</t>
        </is>
      </c>
      <c r="H69" t="inlineStr">
        <is>
          <t>pdf</t>
        </is>
      </c>
      <c r="I69" t="inlineStr">
        <is>
          <t>DOWNLOAD</t>
        </is>
      </c>
      <c r="J69" t="n">
        <v>1.48278427</v>
      </c>
      <c r="K69" t="inlineStr">
        <is>
          <t>Unread</t>
        </is>
      </c>
      <c r="L69" s="153" t="n">
        <v>46176.92764111111</v>
      </c>
      <c r="M69" t="inlineStr">
        <is>
          <t>69a0653ff70f155eeacfb662</t>
        </is>
      </c>
    </row>
    <row r="70">
      <c r="A70" t="inlineStr">
        <is>
          <t>Project Notos</t>
        </is>
      </c>
      <c r="B70" t="inlineStr">
        <is>
          <t>1.1.2.2</t>
        </is>
      </c>
      <c r="C70" s="15" t="inlineStr">
        <is>
          <t>ITT_Debt Assumption Agreement_250225</t>
        </is>
      </c>
      <c r="D70" s="23" t="inlineStr">
        <is>
          <t>PSH / DSN / TOR</t>
        </is>
      </c>
      <c r="F70" s="151">
        <f>HYPERLINK("https://app.global.datasite.com/webviewer/?projectId=696652ec0dc07cc02daa26a0&amp;documentId=69bc0bacc285afd250a79ca6","ITT_Debt Assumption Agreement_250225")</f>
        <v/>
      </c>
      <c r="G70" t="inlineStr">
        <is>
          <t>DOCUMENT</t>
        </is>
      </c>
      <c r="H70" t="inlineStr">
        <is>
          <t>pdf</t>
        </is>
      </c>
      <c r="I70" t="inlineStr">
        <is>
          <t>DOWNLOAD</t>
        </is>
      </c>
      <c r="J70" t="n">
        <v>0.13008308</v>
      </c>
      <c r="K70" t="inlineStr">
        <is>
          <t>Unread</t>
        </is>
      </c>
      <c r="L70" s="153" t="n">
        <v>46176.92764111111</v>
      </c>
      <c r="M70" t="inlineStr">
        <is>
          <t>69bc0bacc285afd250a79ca6</t>
        </is>
      </c>
    </row>
    <row r="71">
      <c r="A71" t="inlineStr">
        <is>
          <t>Project Notos</t>
        </is>
      </c>
      <c r="B71" t="inlineStr">
        <is>
          <t>1.1.2.3</t>
        </is>
      </c>
      <c r="C71" s="15" t="inlineStr">
        <is>
          <t>ITT_Shareholders resolution_dept assumption_signed_250228</t>
        </is>
      </c>
      <c r="D71" s="20" t="inlineStr">
        <is>
          <t>Out-of-Scope</t>
        </is>
      </c>
      <c r="F71" s="151">
        <f>HYPERLINK("https://app.global.datasite.com/webviewer/?projectId=696652ec0dc07cc02daa26a0&amp;documentId=69bc0bacc285afd250a79ca3","ITT_Shareholders resolution_dept assumption_signed_250228")</f>
        <v/>
      </c>
      <c r="G71" t="inlineStr">
        <is>
          <t>DOCUMENT</t>
        </is>
      </c>
      <c r="H71" t="inlineStr">
        <is>
          <t>pdf</t>
        </is>
      </c>
      <c r="I71" t="inlineStr">
        <is>
          <t>DOWNLOAD</t>
        </is>
      </c>
      <c r="J71" t="n">
        <v>0.11805438</v>
      </c>
      <c r="K71" t="inlineStr">
        <is>
          <t>Unread</t>
        </is>
      </c>
      <c r="L71" s="153" t="n">
        <v>46176.92764111111</v>
      </c>
      <c r="M71" t="inlineStr">
        <is>
          <t>69bc0bacc285afd250a79ca3</t>
        </is>
      </c>
    </row>
    <row r="72">
      <c r="A72" t="inlineStr">
        <is>
          <t>Project Notos</t>
        </is>
      </c>
      <c r="B72" t="inlineStr">
        <is>
          <t>1.1.2.4</t>
        </is>
      </c>
      <c r="C72" s="15" t="inlineStr">
        <is>
          <t>ITT_Declaration of non_conflict_fully signed_250228</t>
        </is>
      </c>
      <c r="D72" s="20" t="inlineStr">
        <is>
          <t>Out-of-Scope</t>
        </is>
      </c>
      <c r="F72" s="151">
        <f>HYPERLINK("https://app.global.datasite.com/webviewer/?projectId=696652ec0dc07cc02daa26a0&amp;documentId=69bc0bacc285afd250a79ca1","ITT_Declaration of non_conflict_fully signed_250228")</f>
        <v/>
      </c>
      <c r="G72" t="inlineStr">
        <is>
          <t>DOCUMENT</t>
        </is>
      </c>
      <c r="H72" t="inlineStr">
        <is>
          <t>pdf</t>
        </is>
      </c>
      <c r="I72" t="inlineStr">
        <is>
          <t>DOWNLOAD</t>
        </is>
      </c>
      <c r="J72" t="n">
        <v>0.24712371</v>
      </c>
      <c r="K72" t="inlineStr">
        <is>
          <t>Unread</t>
        </is>
      </c>
      <c r="L72" s="153" t="n">
        <v>46176.92764111111</v>
      </c>
      <c r="M72" t="inlineStr">
        <is>
          <t>69bc0bacc285afd250a79ca1</t>
        </is>
      </c>
    </row>
    <row r="73">
      <c r="A73" t="inlineStr">
        <is>
          <t>Project Notos</t>
        </is>
      </c>
      <c r="B73" t="inlineStr">
        <is>
          <t>1.1.2.5</t>
        </is>
      </c>
      <c r="C73" s="15" t="inlineStr">
        <is>
          <t>ITT_info on estra loans</t>
        </is>
      </c>
      <c r="D73" s="20" t="inlineStr">
        <is>
          <t>Out-of-Scope</t>
        </is>
      </c>
      <c r="F73" s="151">
        <f>HYPERLINK("https://app.global.datasite.com/webviewer/?projectId=696652ec0dc07cc02daa26a0&amp;documentId=69bd588ed52e3d657312d0d7","ITT_info on estra loans")</f>
        <v/>
      </c>
      <c r="G73" t="inlineStr">
        <is>
          <t>DOCUMENT</t>
        </is>
      </c>
      <c r="H73" t="inlineStr">
        <is>
          <t>pdf</t>
        </is>
      </c>
      <c r="I73" t="inlineStr">
        <is>
          <t>DOWNLOAD</t>
        </is>
      </c>
      <c r="J73" t="n">
        <v>0.01788139</v>
      </c>
      <c r="K73" t="inlineStr">
        <is>
          <t>Unread</t>
        </is>
      </c>
      <c r="L73" s="153" t="n">
        <v>46176.92764111111</v>
      </c>
      <c r="M73" t="inlineStr">
        <is>
          <t>69bd588ed52e3d657312d0d7</t>
        </is>
      </c>
    </row>
    <row r="74">
      <c r="A74" s="149" t="inlineStr">
        <is>
          <t>Project Notos</t>
        </is>
      </c>
      <c r="B74" s="149" t="inlineStr">
        <is>
          <t>1.1.3</t>
        </is>
      </c>
      <c r="C74" s="17" t="inlineStr">
        <is>
          <t>Employment</t>
        </is>
      </c>
      <c r="D74" s="25" t="n"/>
      <c r="F74" s="150">
        <f>HYPERLINK("https://app.global.datasite.com/platform/container/696652ec0dc07cc02daa26a0/documents/content/index/698cc4f8f621d51c3a4fdbb4","Employment")</f>
        <v/>
      </c>
      <c r="G74" s="149" t="inlineStr">
        <is>
          <t>FOLDER</t>
        </is>
      </c>
      <c r="H74" s="149" t="n"/>
      <c r="I74" s="149" t="inlineStr">
        <is>
          <t>DOWNLOAD</t>
        </is>
      </c>
      <c r="J74" s="149" t="n"/>
      <c r="K74" s="149" t="inlineStr">
        <is>
          <t>Unread</t>
        </is>
      </c>
      <c r="L74" s="152" t="n">
        <v>46176.92764111111</v>
      </c>
      <c r="M74" s="149" t="inlineStr">
        <is>
          <t>698cc4f8f621d51c3a4fdbb4</t>
        </is>
      </c>
    </row>
    <row r="75">
      <c r="A75" s="149" t="inlineStr">
        <is>
          <t>Project Notos</t>
        </is>
      </c>
      <c r="B75" s="149" t="inlineStr">
        <is>
          <t>1.1.3.1</t>
        </is>
      </c>
      <c r="C75" s="17" t="inlineStr">
        <is>
          <t>Sample employment contracts</t>
        </is>
      </c>
      <c r="D75" s="25" t="n"/>
      <c r="F75" s="150">
        <f>HYPERLINK("https://app.global.datasite.com/platform/container/696652ec0dc07cc02daa26a0/documents/content/index/69bd261eec74eaf0ce09618a","Sample employment contracts")</f>
        <v/>
      </c>
      <c r="G75" s="149" t="inlineStr">
        <is>
          <t>FOLDER</t>
        </is>
      </c>
      <c r="H75" s="149" t="n"/>
      <c r="I75" s="149" t="inlineStr">
        <is>
          <t>DOWNLOAD</t>
        </is>
      </c>
      <c r="J75" s="149" t="n"/>
      <c r="K75" s="149" t="inlineStr">
        <is>
          <t>Unread</t>
        </is>
      </c>
      <c r="L75" s="152" t="n">
        <v>46176.92764111111</v>
      </c>
      <c r="M75" s="149" t="inlineStr">
        <is>
          <t>69bd261eec74eaf0ce09618a</t>
        </is>
      </c>
    </row>
    <row r="76">
      <c r="A76" t="inlineStr">
        <is>
          <t>Project Notos</t>
        </is>
      </c>
      <c r="B76" t="inlineStr">
        <is>
          <t>1.1.3.1.1</t>
        </is>
      </c>
      <c r="C76" s="15" t="inlineStr">
        <is>
          <t>ITT_Employment contract Estra - standard clauses_protected</t>
        </is>
      </c>
      <c r="D76" s="20" t="inlineStr">
        <is>
          <t>Out-of-Scope</t>
        </is>
      </c>
      <c r="F76" s="151">
        <f>HYPERLINK("https://app.global.datasite.com/webviewer/?projectId=696652ec0dc07cc02daa26a0&amp;documentId=69cbe0f6d71dfed7bae8ce06","ITT_Employment contract Estra - standard clauses_protected")</f>
        <v/>
      </c>
      <c r="G76" t="inlineStr">
        <is>
          <t>DOCUMENT</t>
        </is>
      </c>
      <c r="H76" t="inlineStr">
        <is>
          <t>pdf</t>
        </is>
      </c>
      <c r="I76" t="inlineStr">
        <is>
          <t>DOWNLOAD</t>
        </is>
      </c>
      <c r="J76" t="n">
        <v>0.3238821</v>
      </c>
      <c r="K76" t="inlineStr">
        <is>
          <t>Unread</t>
        </is>
      </c>
      <c r="L76" s="153" t="n">
        <v>46176.92764111111</v>
      </c>
      <c r="M76" t="inlineStr">
        <is>
          <t>69cbe0f6d71dfed7bae8ce06</t>
        </is>
      </c>
    </row>
    <row r="77">
      <c r="A77" t="inlineStr">
        <is>
          <t>Project Notos</t>
        </is>
      </c>
      <c r="B77" t="inlineStr">
        <is>
          <t>1.1.3.1.2</t>
        </is>
      </c>
      <c r="C77" s="15" t="inlineStr">
        <is>
          <t>ITT_Employment contract Estra - standard specific clauses_protected</t>
        </is>
      </c>
      <c r="D77" s="20" t="inlineStr">
        <is>
          <t>Out-of-Scope</t>
        </is>
      </c>
      <c r="F77" s="151">
        <f>HYPERLINK("https://app.global.datasite.com/webviewer/?projectId=696652ec0dc07cc02daa26a0&amp;documentId=69cbe2355bd753d43969119d","ITT_Employment contract Estra - standard specific clauses_protected")</f>
        <v/>
      </c>
      <c r="G77" t="inlineStr">
        <is>
          <t>DOCUMENT</t>
        </is>
      </c>
      <c r="H77" t="inlineStr">
        <is>
          <t>pdf</t>
        </is>
      </c>
      <c r="I77" t="inlineStr">
        <is>
          <t>DOWNLOAD</t>
        </is>
      </c>
      <c r="J77" t="n">
        <v>4.48946189</v>
      </c>
      <c r="K77" t="inlineStr">
        <is>
          <t>Unread</t>
        </is>
      </c>
      <c r="L77" s="153" t="n">
        <v>46176.92764111111</v>
      </c>
      <c r="M77" t="inlineStr">
        <is>
          <t>69cbe2355bd753d43969119d</t>
        </is>
      </c>
    </row>
    <row r="78">
      <c r="A78" t="inlineStr">
        <is>
          <t>Project Notos</t>
        </is>
      </c>
      <c r="B78" t="inlineStr">
        <is>
          <t>1.1.3.1.3</t>
        </is>
      </c>
      <c r="C78" s="15" t="inlineStr">
        <is>
          <t>ITT_Employment contract HT - German law_protected</t>
        </is>
      </c>
      <c r="D78" s="20" t="inlineStr">
        <is>
          <t>Out-of-Scope</t>
        </is>
      </c>
      <c r="F78" s="151">
        <f>HYPERLINK("https://app.global.datasite.com/webviewer/?projectId=696652ec0dc07cc02daa26a0&amp;documentId=69cbe2355bd753d43969119e","ITT_Employment contract HT - German law_protected")</f>
        <v/>
      </c>
      <c r="G78" t="inlineStr">
        <is>
          <t>DOCUMENT</t>
        </is>
      </c>
      <c r="H78" t="inlineStr">
        <is>
          <t>pdf</t>
        </is>
      </c>
      <c r="I78" t="inlineStr">
        <is>
          <t>DOWNLOAD</t>
        </is>
      </c>
      <c r="J78" t="n">
        <v>10.31486225</v>
      </c>
      <c r="K78" t="inlineStr">
        <is>
          <t>Unread</t>
        </is>
      </c>
      <c r="L78" s="153" t="n">
        <v>46176.92764111111</v>
      </c>
      <c r="M78" t="inlineStr">
        <is>
          <t>69cbe2355bd753d43969119e</t>
        </is>
      </c>
    </row>
    <row r="79">
      <c r="A79" t="inlineStr">
        <is>
          <t>Project Notos</t>
        </is>
      </c>
      <c r="B79" t="inlineStr">
        <is>
          <t>1.1.3.1.4</t>
        </is>
      </c>
      <c r="C79" s="15" t="inlineStr">
        <is>
          <t>ITT_Employment contract HT_protected</t>
        </is>
      </c>
      <c r="D79" s="20" t="inlineStr">
        <is>
          <t>Out-of-Scope</t>
        </is>
      </c>
      <c r="F79" s="151">
        <f>HYPERLINK("https://app.global.datasite.com/webviewer/?projectId=696652ec0dc07cc02daa26a0&amp;documentId=69cbe2355bd753d43969119f","ITT_Employment contract HT_protected")</f>
        <v/>
      </c>
      <c r="G79" t="inlineStr">
        <is>
          <t>DOCUMENT</t>
        </is>
      </c>
      <c r="H79" t="inlineStr">
        <is>
          <t>pdf</t>
        </is>
      </c>
      <c r="I79" t="inlineStr">
        <is>
          <t>DOWNLOAD</t>
        </is>
      </c>
      <c r="J79" t="n">
        <v>1.13239288</v>
      </c>
      <c r="K79" t="inlineStr">
        <is>
          <t>Unread</t>
        </is>
      </c>
      <c r="L79" s="153" t="n">
        <v>46176.92764111111</v>
      </c>
      <c r="M79" t="inlineStr">
        <is>
          <t>69cbe2355bd753d43969119f</t>
        </is>
      </c>
    </row>
    <row r="80">
      <c r="A80" t="inlineStr">
        <is>
          <t>Project Notos</t>
        </is>
      </c>
      <c r="B80" t="inlineStr">
        <is>
          <t>1.1.3.1.5</t>
        </is>
      </c>
      <c r="C80" s="15" t="inlineStr">
        <is>
          <t>ITT_employment contracts password</t>
        </is>
      </c>
      <c r="D80" s="20" t="inlineStr">
        <is>
          <t>Out-of-Scope</t>
        </is>
      </c>
      <c r="F80" s="151">
        <f>HYPERLINK("https://app.global.datasite.com/webviewer/?projectId=696652ec0dc07cc02daa26a0&amp;documentId=69cbe25e8afd4a56cbcc2c7a","ITT_employment contracts password")</f>
        <v/>
      </c>
      <c r="G80" t="inlineStr">
        <is>
          <t>DOCUMENT</t>
        </is>
      </c>
      <c r="H80" t="inlineStr">
        <is>
          <t>txt</t>
        </is>
      </c>
      <c r="I80" t="inlineStr">
        <is>
          <t>DOWNLOAD</t>
        </is>
      </c>
      <c r="J80" t="n">
        <v>1.049e-05</v>
      </c>
      <c r="K80" t="inlineStr">
        <is>
          <t>Unread</t>
        </is>
      </c>
      <c r="L80" s="153" t="n">
        <v>46176.92764111111</v>
      </c>
      <c r="M80" t="inlineStr">
        <is>
          <t>69cbe25e8afd4a56cbcc2c7a</t>
        </is>
      </c>
    </row>
    <row r="81">
      <c r="A81" t="inlineStr">
        <is>
          <t>Project Notos</t>
        </is>
      </c>
      <c r="B81" t="inlineStr">
        <is>
          <t>1.1.3.1.6</t>
        </is>
      </c>
      <c r="C81" s="15" t="inlineStr">
        <is>
          <t>ITT_employment contracts examples_</t>
        </is>
      </c>
      <c r="D81" s="20" t="inlineStr">
        <is>
          <t>Out-of-Scope</t>
        </is>
      </c>
      <c r="F81" s="151">
        <f>HYPERLINK("https://app.global.datasite.com/webviewer/?projectId=696652ec0dc07cc02daa26a0&amp;documentId=69bd2c1476174ddbd7b69fd0","ITT_employment contracts examples_")</f>
        <v/>
      </c>
      <c r="G81" t="inlineStr">
        <is>
          <t>DOCUMENT</t>
        </is>
      </c>
      <c r="H81" t="inlineStr">
        <is>
          <t>pdf</t>
        </is>
      </c>
      <c r="I81" t="inlineStr">
        <is>
          <t>DOWNLOAD</t>
        </is>
      </c>
      <c r="J81" t="n">
        <v>3.88908672</v>
      </c>
      <c r="K81" t="inlineStr">
        <is>
          <t>Unread</t>
        </is>
      </c>
      <c r="L81" s="153" t="n">
        <v>46176.92764111111</v>
      </c>
      <c r="M81" t="inlineStr">
        <is>
          <t>69bd2c1476174ddbd7b69fd0</t>
        </is>
      </c>
    </row>
    <row r="82">
      <c r="A82" t="inlineStr">
        <is>
          <t>Project Notos</t>
        </is>
      </c>
      <c r="B82" t="inlineStr">
        <is>
          <t>1.1.3.1.7</t>
        </is>
      </c>
      <c r="C82" s="15" t="inlineStr">
        <is>
          <t>ITT_Sample employment contract for a person from Ukraine</t>
        </is>
      </c>
      <c r="D82" s="20" t="inlineStr">
        <is>
          <t>Out-of-Scope</t>
        </is>
      </c>
      <c r="F82" s="151">
        <f>HYPERLINK("https://app.global.datasite.com/webviewer/?projectId=696652ec0dc07cc02daa26a0&amp;documentId=69ccda2a822b728d6648c0b9","ITT_Sample employment contract for a person from Ukraine")</f>
        <v/>
      </c>
      <c r="G82" t="inlineStr">
        <is>
          <t>DOCUMENT</t>
        </is>
      </c>
      <c r="H82" t="inlineStr">
        <is>
          <t>docx</t>
        </is>
      </c>
      <c r="I82" t="inlineStr">
        <is>
          <t>DOWNLOAD</t>
        </is>
      </c>
      <c r="J82" t="n">
        <v>0.02539634</v>
      </c>
      <c r="K82" t="inlineStr">
        <is>
          <t>Unread</t>
        </is>
      </c>
      <c r="L82" s="153" t="n">
        <v>46176.92764111111</v>
      </c>
      <c r="M82" t="inlineStr">
        <is>
          <t>69ccda2a822b728d6648c0b9</t>
        </is>
      </c>
    </row>
    <row r="83">
      <c r="A83" t="inlineStr">
        <is>
          <t>Project Notos</t>
        </is>
      </c>
      <c r="B83" t="inlineStr">
        <is>
          <t>1.1.3.1.8</t>
        </is>
      </c>
      <c r="C83" s="15" t="inlineStr">
        <is>
          <t>ITT_Sample employment contract</t>
        </is>
      </c>
      <c r="D83" s="20" t="inlineStr">
        <is>
          <t>Out-of-Scope</t>
        </is>
      </c>
      <c r="F83" s="151">
        <f>HYPERLINK("https://app.global.datasite.com/webviewer/?projectId=696652ec0dc07cc02daa26a0&amp;documentId=69ccda2a822b728d6648c0ba","ITT_Sample employment contract")</f>
        <v/>
      </c>
      <c r="G83" t="inlineStr">
        <is>
          <t>DOCUMENT</t>
        </is>
      </c>
      <c r="H83" t="inlineStr">
        <is>
          <t>docx</t>
        </is>
      </c>
      <c r="I83" t="inlineStr">
        <is>
          <t>DOWNLOAD</t>
        </is>
      </c>
      <c r="J83" t="n">
        <v>0.02495384</v>
      </c>
      <c r="K83" t="inlineStr">
        <is>
          <t>Unread</t>
        </is>
      </c>
      <c r="L83" s="153" t="n">
        <v>46176.92764111111</v>
      </c>
      <c r="M83" t="inlineStr">
        <is>
          <t>69ccda2a822b728d6648c0ba</t>
        </is>
      </c>
    </row>
    <row r="84">
      <c r="A84" t="inlineStr">
        <is>
          <t>Project Notos</t>
        </is>
      </c>
      <c r="B84" t="inlineStr">
        <is>
          <t>1.1.3.1.9</t>
        </is>
      </c>
      <c r="C84" s="15" t="inlineStr">
        <is>
          <t>ITT_Template of contract</t>
        </is>
      </c>
      <c r="D84" s="20" t="inlineStr">
        <is>
          <t>Out-of-Scope</t>
        </is>
      </c>
      <c r="F84" s="151">
        <f>HYPERLINK("https://app.global.datasite.com/webviewer/?projectId=696652ec0dc07cc02daa26a0&amp;documentId=69ccda2a822b728d6648c0bb","ITT_Template of contract")</f>
        <v/>
      </c>
      <c r="G84" t="inlineStr">
        <is>
          <t>DOCUMENT</t>
        </is>
      </c>
      <c r="H84" t="inlineStr">
        <is>
          <t>docx</t>
        </is>
      </c>
      <c r="I84" t="inlineStr">
        <is>
          <t>DOWNLOAD</t>
        </is>
      </c>
      <c r="J84" t="n">
        <v>0.68596267</v>
      </c>
      <c r="K84" t="inlineStr">
        <is>
          <t>Unread</t>
        </is>
      </c>
      <c r="L84" s="153" t="n">
        <v>46176.92764111111</v>
      </c>
      <c r="M84" t="inlineStr">
        <is>
          <t>69ccda2a822b728d6648c0bb</t>
        </is>
      </c>
    </row>
    <row r="85">
      <c r="A85" s="149" t="inlineStr">
        <is>
          <t>Project Notos</t>
        </is>
      </c>
      <c r="B85" s="149" t="inlineStr">
        <is>
          <t>1.1.3.2</t>
        </is>
      </c>
      <c r="C85" s="17" t="inlineStr">
        <is>
          <t xml:space="preserve">Pension Agreement </t>
        </is>
      </c>
      <c r="D85" s="25" t="n"/>
      <c r="F85" s="150">
        <f>HYPERLINK("https://app.global.datasite.com/platform/container/696652ec0dc07cc02daa26a0/documents/content/index/69cbe48df2516408b58ae488","Pension Agreement ")</f>
        <v/>
      </c>
      <c r="G85" s="149" t="inlineStr">
        <is>
          <t>FOLDER</t>
        </is>
      </c>
      <c r="H85" s="149" t="n"/>
      <c r="I85" s="149" t="inlineStr">
        <is>
          <t>DOWNLOAD</t>
        </is>
      </c>
      <c r="J85" s="149" t="n"/>
      <c r="K85" s="149" t="inlineStr">
        <is>
          <t>Unread</t>
        </is>
      </c>
      <c r="L85" s="152" t="n">
        <v>46176.92764111111</v>
      </c>
      <c r="M85" s="149" t="inlineStr">
        <is>
          <t>69cbe48df2516408b58ae488</t>
        </is>
      </c>
    </row>
    <row r="86">
      <c r="A86" t="inlineStr">
        <is>
          <t>Project Notos</t>
        </is>
      </c>
      <c r="B86" t="inlineStr">
        <is>
          <t>1.1.3.2.1</t>
        </is>
      </c>
      <c r="C86" s="15" t="inlineStr">
        <is>
          <t>ITT pension agreement_protected</t>
        </is>
      </c>
      <c r="D86" s="20" t="inlineStr">
        <is>
          <t>Out-of-Scope</t>
        </is>
      </c>
      <c r="F86" s="151">
        <f>HYPERLINK("https://app.global.datasite.com/webviewer/?projectId=696652ec0dc07cc02daa26a0&amp;documentId=69cbe4a7f1bc84f53ceb49e5","ITT pension agreement_protected")</f>
        <v/>
      </c>
      <c r="G86" t="inlineStr">
        <is>
          <t>DOCUMENT</t>
        </is>
      </c>
      <c r="H86" t="inlineStr">
        <is>
          <t>pdf</t>
        </is>
      </c>
      <c r="I86" t="inlineStr">
        <is>
          <t>DOWNLOAD</t>
        </is>
      </c>
      <c r="J86" t="n">
        <v>7.98927879</v>
      </c>
      <c r="K86" t="inlineStr">
        <is>
          <t>Unread</t>
        </is>
      </c>
      <c r="L86" s="153" t="n">
        <v>46176.92764111111</v>
      </c>
      <c r="M86" t="inlineStr">
        <is>
          <t>69cbe4a7f1bc84f53ceb49e5</t>
        </is>
      </c>
    </row>
    <row r="87">
      <c r="A87" t="inlineStr">
        <is>
          <t>Project Notos</t>
        </is>
      </c>
      <c r="B87" t="inlineStr">
        <is>
          <t>1.1.3.2.2</t>
        </is>
      </c>
      <c r="C87" s="15" t="inlineStr">
        <is>
          <t>ITT_pension agreement password</t>
        </is>
      </c>
      <c r="D87" s="20" t="inlineStr">
        <is>
          <t>Out-of-Scope</t>
        </is>
      </c>
      <c r="F87" s="151">
        <f>HYPERLINK("https://app.global.datasite.com/webviewer/?projectId=696652ec0dc07cc02daa26a0&amp;documentId=69cbe4d85bd753d4396911ff","ITT_pension agreement password")</f>
        <v/>
      </c>
      <c r="G87" t="inlineStr">
        <is>
          <t>DOCUMENT</t>
        </is>
      </c>
      <c r="H87" t="inlineStr">
        <is>
          <t>txt</t>
        </is>
      </c>
      <c r="I87" t="inlineStr">
        <is>
          <t>DOWNLOAD</t>
        </is>
      </c>
      <c r="J87" t="n">
        <v>8.579999999999999e-06</v>
      </c>
      <c r="K87" t="inlineStr">
        <is>
          <t>Unread</t>
        </is>
      </c>
      <c r="L87" s="153" t="n">
        <v>46176.92764111111</v>
      </c>
      <c r="M87" t="inlineStr">
        <is>
          <t>69cbe4d85bd753d4396911ff</t>
        </is>
      </c>
    </row>
    <row r="88">
      <c r="A88" s="149" t="inlineStr">
        <is>
          <t>Project Notos</t>
        </is>
      </c>
      <c r="B88" s="149" t="inlineStr">
        <is>
          <t>1.1.3.3</t>
        </is>
      </c>
      <c r="C88" s="17" t="inlineStr">
        <is>
          <t>Variable Compensation Model</t>
        </is>
      </c>
      <c r="D88" s="25" t="n"/>
      <c r="F88" s="150">
        <f>HYPERLINK("https://app.global.datasite.com/platform/container/696652ec0dc07cc02daa26a0/documents/content/index/69cbea0d17350af3e89f9cd7","Variable Compensation Model")</f>
        <v/>
      </c>
      <c r="G88" s="149" t="inlineStr">
        <is>
          <t>FOLDER</t>
        </is>
      </c>
      <c r="H88" s="149" t="n"/>
      <c r="I88" s="149" t="inlineStr">
        <is>
          <t>DOWNLOAD</t>
        </is>
      </c>
      <c r="J88" s="149" t="n"/>
      <c r="K88" s="149" t="inlineStr">
        <is>
          <t>Unread</t>
        </is>
      </c>
      <c r="L88" s="152" t="n">
        <v>46176.92764111111</v>
      </c>
      <c r="M88" s="149" t="inlineStr">
        <is>
          <t>69cbea0d17350af3e89f9cd7</t>
        </is>
      </c>
    </row>
    <row r="89">
      <c r="A89" t="inlineStr">
        <is>
          <t>Project Notos</t>
        </is>
      </c>
      <c r="B89" t="inlineStr">
        <is>
          <t>1.1.3.3.1</t>
        </is>
      </c>
      <c r="C89" s="15" t="inlineStr">
        <is>
          <t>ITT_variable compensation model - patent reward procedure_protected</t>
        </is>
      </c>
      <c r="D89" s="20" t="inlineStr">
        <is>
          <t>Out-of-Scope</t>
        </is>
      </c>
      <c r="F89" s="151">
        <f>HYPERLINK("https://app.global.datasite.com/webviewer/?projectId=696652ec0dc07cc02daa26a0&amp;documentId=69cbea1cf823513bf7f70e9b","ITT_variable compensation model - patent reward procedure_protected")</f>
        <v/>
      </c>
      <c r="G89" t="inlineStr">
        <is>
          <t>DOCUMENT</t>
        </is>
      </c>
      <c r="H89" t="inlineStr">
        <is>
          <t>pdf</t>
        </is>
      </c>
      <c r="I89" t="inlineStr">
        <is>
          <t>DOWNLOAD</t>
        </is>
      </c>
      <c r="J89" t="n">
        <v>0.11099052</v>
      </c>
      <c r="K89" t="inlineStr">
        <is>
          <t>Unread</t>
        </is>
      </c>
      <c r="L89" s="153" t="n">
        <v>46176.92764111111</v>
      </c>
      <c r="M89" t="inlineStr">
        <is>
          <t>69cbea1cf823513bf7f70e9b</t>
        </is>
      </c>
    </row>
    <row r="90">
      <c r="A90" t="inlineStr">
        <is>
          <t>Project Notos</t>
        </is>
      </c>
      <c r="B90" t="inlineStr">
        <is>
          <t>1.1.3.3.2</t>
        </is>
      </c>
      <c r="C90" s="15" t="inlineStr">
        <is>
          <t>ITT_variable compensation model 1_protected</t>
        </is>
      </c>
      <c r="D90" s="20" t="inlineStr">
        <is>
          <t>Out-of-Scope</t>
        </is>
      </c>
      <c r="F90" s="151">
        <f>HYPERLINK("https://app.global.datasite.com/webviewer/?projectId=696652ec0dc07cc02daa26a0&amp;documentId=69cbea1cf823513bf7f70e9c","ITT_variable compensation model 1_protected")</f>
        <v/>
      </c>
      <c r="G90" t="inlineStr">
        <is>
          <t>DOCUMENT</t>
        </is>
      </c>
      <c r="H90" t="inlineStr">
        <is>
          <t>pdf</t>
        </is>
      </c>
      <c r="I90" t="inlineStr">
        <is>
          <t>DOWNLOAD</t>
        </is>
      </c>
      <c r="J90" t="n">
        <v>0.37261867</v>
      </c>
      <c r="K90" t="inlineStr">
        <is>
          <t>Unread</t>
        </is>
      </c>
      <c r="L90" s="153" t="n">
        <v>46176.92764111111</v>
      </c>
      <c r="M90" t="inlineStr">
        <is>
          <t>69cbea1cf823513bf7f70e9c</t>
        </is>
      </c>
    </row>
    <row r="91">
      <c r="A91" t="inlineStr">
        <is>
          <t>Project Notos</t>
        </is>
      </c>
      <c r="B91" t="inlineStr">
        <is>
          <t>1.1.3.3.3</t>
        </is>
      </c>
      <c r="C91" s="15" t="inlineStr">
        <is>
          <t>ITT_variable compensation model password</t>
        </is>
      </c>
      <c r="D91" s="20" t="inlineStr">
        <is>
          <t>Out-of-Scope</t>
        </is>
      </c>
      <c r="F91" s="151">
        <f>HYPERLINK("https://app.global.datasite.com/webviewer/?projectId=696652ec0dc07cc02daa26a0&amp;documentId=69cbea3c8014561b861a1138","ITT_variable compensation model password")</f>
        <v/>
      </c>
      <c r="G91" t="inlineStr">
        <is>
          <t>DOCUMENT</t>
        </is>
      </c>
      <c r="H91" t="inlineStr">
        <is>
          <t>txt</t>
        </is>
      </c>
      <c r="I91" t="inlineStr">
        <is>
          <t>DOWNLOAD</t>
        </is>
      </c>
      <c r="J91" t="n">
        <v>1.811e-05</v>
      </c>
      <c r="K91" t="inlineStr">
        <is>
          <t>Unread</t>
        </is>
      </c>
      <c r="L91" s="153" t="n">
        <v>46176.92764111111</v>
      </c>
      <c r="M91" t="inlineStr">
        <is>
          <t>69cbea3c8014561b861a1138</t>
        </is>
      </c>
    </row>
    <row r="92">
      <c r="A92" s="149" t="inlineStr">
        <is>
          <t>Project Notos</t>
        </is>
      </c>
      <c r="B92" s="149" t="inlineStr">
        <is>
          <t>1.1.3.4</t>
        </is>
      </c>
      <c r="C92" s="17" t="inlineStr">
        <is>
          <t>Work Council</t>
        </is>
      </c>
      <c r="D92" s="25" t="n"/>
      <c r="F92" s="150">
        <f>HYPERLINK("https://app.global.datasite.com/platform/container/696652ec0dc07cc02daa26a0/documents/content/index/69cbeb0f8afd4a56cbcc33a1","Work Council")</f>
        <v/>
      </c>
      <c r="G92" s="149" t="inlineStr">
        <is>
          <t>FOLDER</t>
        </is>
      </c>
      <c r="H92" s="149" t="n"/>
      <c r="I92" s="149" t="inlineStr">
        <is>
          <t>DOWNLOAD</t>
        </is>
      </c>
      <c r="J92" s="149" t="n"/>
      <c r="K92" s="149" t="inlineStr">
        <is>
          <t>Unread</t>
        </is>
      </c>
      <c r="L92" s="152" t="n">
        <v>46176.92764111111</v>
      </c>
      <c r="M92" s="149" t="inlineStr">
        <is>
          <t>69cbeb0f8afd4a56cbcc33a1</t>
        </is>
      </c>
    </row>
    <row r="93">
      <c r="A93" t="inlineStr">
        <is>
          <t>Project Notos</t>
        </is>
      </c>
      <c r="B93" t="inlineStr">
        <is>
          <t>1.1.3.4.1</t>
        </is>
      </c>
      <c r="C93" s="15" t="inlineStr">
        <is>
          <t>ITT_work council_protected</t>
        </is>
      </c>
      <c r="D93" s="20" t="inlineStr">
        <is>
          <t>Out-of-Scope</t>
        </is>
      </c>
      <c r="F93" s="151">
        <f>HYPERLINK("https://app.global.datasite.com/webviewer/?projectId=696652ec0dc07cc02daa26a0&amp;documentId=69cbeb3ea55f36900f27ea1d","ITT_work council_protected")</f>
        <v/>
      </c>
      <c r="G93" t="inlineStr">
        <is>
          <t>DOCUMENT</t>
        </is>
      </c>
      <c r="H93" t="inlineStr">
        <is>
          <t>pdf</t>
        </is>
      </c>
      <c r="I93" t="inlineStr">
        <is>
          <t>DOWNLOAD</t>
        </is>
      </c>
      <c r="J93" t="n">
        <v>0.03513526</v>
      </c>
      <c r="K93" t="inlineStr">
        <is>
          <t>Unread</t>
        </is>
      </c>
      <c r="L93" s="153" t="n">
        <v>46176.92764111111</v>
      </c>
      <c r="M93" t="inlineStr">
        <is>
          <t>69cbeb3ea55f36900f27ea1d</t>
        </is>
      </c>
    </row>
    <row r="94">
      <c r="A94" t="inlineStr">
        <is>
          <t>Project Notos</t>
        </is>
      </c>
      <c r="B94" t="inlineStr">
        <is>
          <t>1.1.3.4.2</t>
        </is>
      </c>
      <c r="C94" s="15" t="inlineStr">
        <is>
          <t>ITT_work council password</t>
        </is>
      </c>
      <c r="D94" s="20" t="inlineStr">
        <is>
          <t>Out-of-Scope</t>
        </is>
      </c>
      <c r="F94" s="151">
        <f>HYPERLINK("https://app.global.datasite.com/webviewer/?projectId=696652ec0dc07cc02daa26a0&amp;documentId=69cbeb61cc0f2dc5e8047deb","ITT_work council password")</f>
        <v/>
      </c>
      <c r="G94" t="inlineStr">
        <is>
          <t>DOCUMENT</t>
        </is>
      </c>
      <c r="H94" t="inlineStr">
        <is>
          <t>txt</t>
        </is>
      </c>
      <c r="I94" t="inlineStr">
        <is>
          <t>DOWNLOAD</t>
        </is>
      </c>
      <c r="J94" t="n">
        <v>6.67e-06</v>
      </c>
      <c r="K94" t="inlineStr">
        <is>
          <t>Unread</t>
        </is>
      </c>
      <c r="L94" s="153" t="n">
        <v>46176.92764111111</v>
      </c>
      <c r="M94" t="inlineStr">
        <is>
          <t>69cbeb61cc0f2dc5e8047deb</t>
        </is>
      </c>
    </row>
    <row r="95">
      <c r="A95" t="inlineStr">
        <is>
          <t>Project Notos</t>
        </is>
      </c>
      <c r="B95" t="inlineStr">
        <is>
          <t>1.1.3.4.3</t>
        </is>
      </c>
      <c r="C95" s="15" t="inlineStr">
        <is>
          <t>ITT_Information from the union register</t>
        </is>
      </c>
      <c r="D95" s="20" t="inlineStr">
        <is>
          <t>Out-of-Scope</t>
        </is>
      </c>
      <c r="F95" s="151">
        <f>HYPERLINK("https://app.global.datasite.com/webviewer/?projectId=696652ec0dc07cc02daa26a0&amp;documentId=69ccdc87822b728d6648c1ad","ITT_Information from the union register")</f>
        <v/>
      </c>
      <c r="G95" t="inlineStr">
        <is>
          <t>DOCUMENT</t>
        </is>
      </c>
      <c r="H95" t="inlineStr">
        <is>
          <t>pdf</t>
        </is>
      </c>
      <c r="I95" t="inlineStr">
        <is>
          <t>DOWNLOAD</t>
        </is>
      </c>
      <c r="J95" t="n">
        <v>1.03808784</v>
      </c>
      <c r="K95" t="inlineStr">
        <is>
          <t>Unread</t>
        </is>
      </c>
      <c r="L95" s="153" t="n">
        <v>46176.92764111111</v>
      </c>
      <c r="M95" t="inlineStr">
        <is>
          <t>69ccdc87822b728d6648c1ad</t>
        </is>
      </c>
    </row>
    <row r="96">
      <c r="A96" t="inlineStr">
        <is>
          <t>Project Notos</t>
        </is>
      </c>
      <c r="B96" t="inlineStr">
        <is>
          <t>1.1.3.4.4</t>
        </is>
      </c>
      <c r="C96" s="15" t="inlineStr">
        <is>
          <t>ITT_Appointment of a social committee</t>
        </is>
      </c>
      <c r="D96" s="20" t="inlineStr">
        <is>
          <t>Out-of-Scope</t>
        </is>
      </c>
      <c r="F96" s="151">
        <f>HYPERLINK("https://app.global.datasite.com/webviewer/?projectId=696652ec0dc07cc02daa26a0&amp;documentId=69ccdc87822b728d6648c1ae","ITT_Appointment of a social committee")</f>
        <v/>
      </c>
      <c r="G96" t="inlineStr">
        <is>
          <t>DOCUMENT</t>
        </is>
      </c>
      <c r="H96" t="inlineStr">
        <is>
          <t>pdf</t>
        </is>
      </c>
      <c r="I96" t="inlineStr">
        <is>
          <t>DOWNLOAD</t>
        </is>
      </c>
      <c r="J96" t="n">
        <v>1.32037162</v>
      </c>
      <c r="K96" t="inlineStr">
        <is>
          <t>Unread</t>
        </is>
      </c>
      <c r="L96" s="153" t="n">
        <v>46176.92764111111</v>
      </c>
      <c r="M96" t="inlineStr">
        <is>
          <t>69ccdc87822b728d6648c1ae</t>
        </is>
      </c>
    </row>
    <row r="97">
      <c r="A97" s="149" t="inlineStr">
        <is>
          <t>Project Notos</t>
        </is>
      </c>
      <c r="B97" s="149" t="inlineStr">
        <is>
          <t>1.1.3.5</t>
        </is>
      </c>
      <c r="C97" s="17" t="inlineStr">
        <is>
          <t>Boni</t>
        </is>
      </c>
      <c r="D97" s="25" t="n"/>
      <c r="F97" s="150">
        <f>HYPERLINK("https://app.global.datasite.com/platform/container/696652ec0dc07cc02daa26a0/documents/content/index/69ccdb16132cbcd7b1586a5c","Boni")</f>
        <v/>
      </c>
      <c r="G97" s="149" t="inlineStr">
        <is>
          <t>FOLDER</t>
        </is>
      </c>
      <c r="H97" s="149" t="n"/>
      <c r="I97" s="149" t="inlineStr">
        <is>
          <t>DOWNLOAD</t>
        </is>
      </c>
      <c r="J97" s="149" t="n"/>
      <c r="K97" s="149" t="inlineStr">
        <is>
          <t>Unread</t>
        </is>
      </c>
      <c r="L97" s="152" t="n">
        <v>46176.92764111111</v>
      </c>
      <c r="M97" s="149" t="inlineStr">
        <is>
          <t>69ccdb16132cbcd7b1586a5c</t>
        </is>
      </c>
    </row>
    <row r="98">
      <c r="A98" t="inlineStr">
        <is>
          <t>Project Notos</t>
        </is>
      </c>
      <c r="B98" t="inlineStr">
        <is>
          <t>1.1.3.5.1</t>
        </is>
      </c>
      <c r="C98" s="15" t="inlineStr">
        <is>
          <t>ITT_Bonus data</t>
        </is>
      </c>
      <c r="D98" s="20" t="inlineStr">
        <is>
          <t>Out-of-Scope</t>
        </is>
      </c>
      <c r="F98" s="151">
        <f>HYPERLINK("https://app.global.datasite.com/webviewer/?projectId=696652ec0dc07cc02daa26a0&amp;documentId=69ccdbb2e7d2926ece8917df","ITT_Bonus data")</f>
        <v/>
      </c>
      <c r="G98" t="inlineStr">
        <is>
          <t>DOCUMENT</t>
        </is>
      </c>
      <c r="H98" t="inlineStr">
        <is>
          <t>txt</t>
        </is>
      </c>
      <c r="I98" t="inlineStr">
        <is>
          <t>DOWNLOAD</t>
        </is>
      </c>
      <c r="J98" t="n">
        <v>0.0003004</v>
      </c>
      <c r="K98" t="inlineStr">
        <is>
          <t>Unread</t>
        </is>
      </c>
      <c r="L98" s="153" t="n">
        <v>46176.92764111111</v>
      </c>
      <c r="M98" t="inlineStr">
        <is>
          <t>69ccdbb2e7d2926ece8917df</t>
        </is>
      </c>
    </row>
    <row r="99">
      <c r="A99" t="inlineStr">
        <is>
          <t>Project Notos</t>
        </is>
      </c>
      <c r="B99" t="inlineStr">
        <is>
          <t>1.1.3.5.2</t>
        </is>
      </c>
      <c r="C99" s="15" t="inlineStr">
        <is>
          <t>ITT_20% bonus grid</t>
        </is>
      </c>
      <c r="D99" s="20" t="inlineStr">
        <is>
          <t>Out-of-Scope</t>
        </is>
      </c>
      <c r="F99" s="151">
        <f>HYPERLINK("https://app.global.datasite.com/webviewer/?projectId=696652ec0dc07cc02daa26a0&amp;documentId=69ccdbb2e7d2926ece8917dd","ITT_20% bonus grid")</f>
        <v/>
      </c>
      <c r="G99" t="inlineStr">
        <is>
          <t>DOCUMENT</t>
        </is>
      </c>
      <c r="H99" t="inlineStr">
        <is>
          <t>pdf</t>
        </is>
      </c>
      <c r="I99" t="inlineStr">
        <is>
          <t>DOWNLOAD</t>
        </is>
      </c>
      <c r="J99" t="n">
        <v>0.10726928</v>
      </c>
      <c r="K99" t="inlineStr">
        <is>
          <t>Unread</t>
        </is>
      </c>
      <c r="L99" s="153" t="n">
        <v>46176.92764111111</v>
      </c>
      <c r="M99" t="inlineStr">
        <is>
          <t>69ccdbb2e7d2926ece8917dd</t>
        </is>
      </c>
    </row>
    <row r="100">
      <c r="A100" t="inlineStr">
        <is>
          <t>Project Notos</t>
        </is>
      </c>
      <c r="B100" t="inlineStr">
        <is>
          <t>1.1.3.5.3</t>
        </is>
      </c>
      <c r="C100" s="15" t="inlineStr">
        <is>
          <t>ITT_Bonus 20%</t>
        </is>
      </c>
      <c r="D100" s="20" t="inlineStr">
        <is>
          <t>Out-of-Scope</t>
        </is>
      </c>
      <c r="F100" s="151">
        <f>HYPERLINK("https://app.global.datasite.com/webviewer/?projectId=696652ec0dc07cc02daa26a0&amp;documentId=69ccdbb2e7d2926ece8917de","ITT_Bonus 20%")</f>
        <v/>
      </c>
      <c r="G100" t="inlineStr">
        <is>
          <t>DOCUMENT</t>
        </is>
      </c>
      <c r="H100" t="inlineStr">
        <is>
          <t>jpg</t>
        </is>
      </c>
      <c r="I100" t="inlineStr">
        <is>
          <t>DOWNLOAD</t>
        </is>
      </c>
      <c r="J100" t="n">
        <v>0.34796524</v>
      </c>
      <c r="K100" t="inlineStr">
        <is>
          <t>Unread</t>
        </is>
      </c>
      <c r="L100" s="153" t="n">
        <v>46176.92764111111</v>
      </c>
      <c r="M100" t="inlineStr">
        <is>
          <t>69ccdbb2e7d2926ece8917de</t>
        </is>
      </c>
    </row>
    <row r="101">
      <c r="A101" s="149" t="inlineStr">
        <is>
          <t>Project Notos</t>
        </is>
      </c>
      <c r="B101" s="149" t="inlineStr">
        <is>
          <t>1.1.3.6</t>
        </is>
      </c>
      <c r="C101" s="17" t="inlineStr">
        <is>
          <t>Data protection officer-Lux &amp; Pol</t>
        </is>
      </c>
      <c r="D101" s="25" t="n"/>
      <c r="F101" s="150">
        <f>HYPERLINK("https://app.global.datasite.com/platform/container/696652ec0dc07cc02daa26a0/documents/content/index/69cf79d3d4ee2114935e0bed","Data protection officer-Lux &amp; Pol")</f>
        <v/>
      </c>
      <c r="G101" s="149" t="inlineStr">
        <is>
          <t>FOLDER</t>
        </is>
      </c>
      <c r="H101" s="149" t="n"/>
      <c r="I101" s="149" t="inlineStr">
        <is>
          <t>DOWNLOAD</t>
        </is>
      </c>
      <c r="J101" s="149" t="n"/>
      <c r="K101" s="149" t="inlineStr">
        <is>
          <t>Unread</t>
        </is>
      </c>
      <c r="L101" s="152" t="n">
        <v>46176.92764111111</v>
      </c>
      <c r="M101" s="149" t="inlineStr">
        <is>
          <t>69cf79d3d4ee2114935e0bed</t>
        </is>
      </c>
    </row>
    <row r="102">
      <c r="A102" t="inlineStr">
        <is>
          <t>Project Notos</t>
        </is>
      </c>
      <c r="B102" t="inlineStr">
        <is>
          <t>1.1.3.6.1</t>
        </is>
      </c>
      <c r="C102" s="15" t="inlineStr">
        <is>
          <t>ITT_Data Protection Officer</t>
        </is>
      </c>
      <c r="D102" s="20" t="inlineStr">
        <is>
          <t>Out-of-Scope</t>
        </is>
      </c>
      <c r="F102" s="151">
        <f>HYPERLINK("https://app.global.datasite.com/webviewer/?projectId=696652ec0dc07cc02daa26a0&amp;documentId=69cf79db812f91856ba7a104","ITT_Data Protection Officer")</f>
        <v/>
      </c>
      <c r="G102" t="inlineStr">
        <is>
          <t>DOCUMENT</t>
        </is>
      </c>
      <c r="H102" t="inlineStr">
        <is>
          <t>pdf</t>
        </is>
      </c>
      <c r="I102" t="inlineStr">
        <is>
          <t>DOWNLOAD</t>
        </is>
      </c>
      <c r="J102" t="n">
        <v>0.02574348</v>
      </c>
      <c r="K102" t="inlineStr">
        <is>
          <t>Unread</t>
        </is>
      </c>
      <c r="L102" s="153" t="n">
        <v>46176.92764111111</v>
      </c>
      <c r="M102" t="inlineStr">
        <is>
          <t>69cf79db812f91856ba7a104</t>
        </is>
      </c>
    </row>
    <row r="103">
      <c r="A103" s="149" t="inlineStr">
        <is>
          <t>Project Notos</t>
        </is>
      </c>
      <c r="B103" s="149" t="inlineStr">
        <is>
          <t>1.1.3.7</t>
        </is>
      </c>
      <c r="C103" s="17" t="inlineStr">
        <is>
          <t>LUX_Personnel list</t>
        </is>
      </c>
      <c r="D103" s="25" t="n"/>
      <c r="F103" s="150">
        <f>HYPERLINK("https://app.global.datasite.com/platform/container/696652ec0dc07cc02daa26a0/documents/content/index/69cbed5d5bd753d4396925a0","LUX_Personnel list")</f>
        <v/>
      </c>
      <c r="G103" s="149" t="inlineStr">
        <is>
          <t>FOLDER</t>
        </is>
      </c>
      <c r="H103" s="149" t="n"/>
      <c r="I103" s="149" t="inlineStr">
        <is>
          <t>DOWNLOAD</t>
        </is>
      </c>
      <c r="J103" s="149" t="n"/>
      <c r="K103" s="149" t="inlineStr">
        <is>
          <t>Unread</t>
        </is>
      </c>
      <c r="L103" s="152" t="n">
        <v>46176.92764111111</v>
      </c>
      <c r="M103" s="149" t="inlineStr">
        <is>
          <t>69cbed5d5bd753d4396925a0</t>
        </is>
      </c>
    </row>
    <row r="104">
      <c r="A104" s="3" t="inlineStr">
        <is>
          <t>Project Notos</t>
        </is>
      </c>
      <c r="B104" s="3" t="inlineStr">
        <is>
          <t>1.1.3.7.1</t>
        </is>
      </c>
      <c r="C104" s="18" t="inlineStr">
        <is>
          <t>To come</t>
        </is>
      </c>
      <c r="D104" s="26" t="n"/>
      <c r="F104" s="3" t="inlineStr">
        <is>
          <t>To come</t>
        </is>
      </c>
      <c r="G104" s="3" t="inlineStr">
        <is>
          <t>PLACEHOLDER</t>
        </is>
      </c>
      <c r="H104" s="3" t="n"/>
      <c r="I104" s="3" t="inlineStr">
        <is>
          <t>DOWNLOAD</t>
        </is>
      </c>
      <c r="J104" s="3" t="n"/>
      <c r="K104" s="3" t="inlineStr">
        <is>
          <t>Unread</t>
        </is>
      </c>
      <c r="L104" s="9" t="n">
        <v>46176.92764111111</v>
      </c>
      <c r="M104" s="3" t="inlineStr">
        <is>
          <t>69f2526d87afd875c2539cd9</t>
        </is>
      </c>
    </row>
    <row r="105">
      <c r="A105" s="149" t="inlineStr">
        <is>
          <t>Project Notos</t>
        </is>
      </c>
      <c r="B105" s="149" t="inlineStr">
        <is>
          <t>1.1.4</t>
        </is>
      </c>
      <c r="C105" s="17" t="inlineStr">
        <is>
          <t>Patents</t>
        </is>
      </c>
      <c r="D105" s="25" t="n"/>
      <c r="F105" s="150">
        <f>HYPERLINK("https://app.global.datasite.com/platform/container/696652ec0dc07cc02daa26a0/documents/content/index/698ccba7cd666bb795894bdb","Patents")</f>
        <v/>
      </c>
      <c r="G105" s="149" t="inlineStr">
        <is>
          <t>FOLDER</t>
        </is>
      </c>
      <c r="H105" s="149" t="n"/>
      <c r="I105" s="149" t="inlineStr">
        <is>
          <t>DOWNLOAD</t>
        </is>
      </c>
      <c r="J105" s="149" t="n"/>
      <c r="K105" s="149" t="inlineStr">
        <is>
          <t>Unread</t>
        </is>
      </c>
      <c r="L105" s="152" t="n">
        <v>46176.92764111111</v>
      </c>
      <c r="M105" s="149" t="inlineStr">
        <is>
          <t>698ccba7cd666bb795894bdb</t>
        </is>
      </c>
    </row>
    <row r="106">
      <c r="A106" t="inlineStr">
        <is>
          <t>Project Notos</t>
        </is>
      </c>
      <c r="B106" t="inlineStr">
        <is>
          <t>1.1.4.1</t>
        </is>
      </c>
      <c r="C106" s="15" t="inlineStr">
        <is>
          <t xml:space="preserve">IHE_ITT_Patent purchase agreement &amp; patent assignment agreement_final ML_2025 02 26 </t>
        </is>
      </c>
      <c r="D106" s="20" t="inlineStr">
        <is>
          <t>Out-of-Scope</t>
        </is>
      </c>
      <c r="F106" s="151">
        <f>HYPERLINK("https://app.global.datasite.com/webviewer/?projectId=696652ec0dc07cc02daa26a0&amp;documentId=698ccf2ee08904dbb6081ba1","IHE_ITT_Patent purchase agreement &amp; patent assignment agreement_final ML_2025 02 26 ")</f>
        <v/>
      </c>
      <c r="G106" t="inlineStr">
        <is>
          <t>DOCUMENT</t>
        </is>
      </c>
      <c r="H106" t="inlineStr">
        <is>
          <t>pdf</t>
        </is>
      </c>
      <c r="I106" t="inlineStr">
        <is>
          <t>DOWNLOAD</t>
        </is>
      </c>
      <c r="J106" t="n">
        <v>0.76798534</v>
      </c>
      <c r="K106" t="inlineStr">
        <is>
          <t>Unread</t>
        </is>
      </c>
      <c r="L106" s="153" t="n">
        <v>46176.92764111111</v>
      </c>
      <c r="M106" t="inlineStr">
        <is>
          <t>698ccf2ee08904dbb6081ba1</t>
        </is>
      </c>
    </row>
    <row r="107">
      <c r="A107" t="inlineStr">
        <is>
          <t>Project Notos</t>
        </is>
      </c>
      <c r="B107" t="inlineStr">
        <is>
          <t>1.1.4.2</t>
        </is>
      </c>
      <c r="C107" s="15" t="inlineStr">
        <is>
          <t>ITT_Patents_2026</t>
        </is>
      </c>
      <c r="D107" s="20" t="inlineStr">
        <is>
          <t>Out-of-Scope</t>
        </is>
      </c>
      <c r="F107" s="151">
        <f>HYPERLINK("https://app.global.datasite.com/webviewer/?projectId=696652ec0dc07cc02daa26a0&amp;documentId=69bc072feff3769089ac1637","ITT_Patents_2026")</f>
        <v/>
      </c>
      <c r="G107" t="inlineStr">
        <is>
          <t>DOCUMENT</t>
        </is>
      </c>
      <c r="H107" t="inlineStr">
        <is>
          <t>xlsx</t>
        </is>
      </c>
      <c r="I107" t="inlineStr">
        <is>
          <t>DOWNLOAD</t>
        </is>
      </c>
      <c r="J107" t="n">
        <v>0.01270484</v>
      </c>
      <c r="K107" t="inlineStr">
        <is>
          <t>Unread</t>
        </is>
      </c>
      <c r="L107" s="153" t="n">
        <v>46176.92764111111</v>
      </c>
      <c r="M107" t="inlineStr">
        <is>
          <t>69bc072feff3769089ac1637</t>
        </is>
      </c>
    </row>
    <row r="108">
      <c r="A108" s="149" t="inlineStr">
        <is>
          <t>Project Notos</t>
        </is>
      </c>
      <c r="B108" s="149" t="inlineStr">
        <is>
          <t>1.1.5</t>
        </is>
      </c>
      <c r="C108" s="17" t="inlineStr">
        <is>
          <t>Insurance</t>
        </is>
      </c>
      <c r="D108" s="25" t="n"/>
      <c r="F108" s="150">
        <f>HYPERLINK("https://app.global.datasite.com/platform/container/696652ec0dc07cc02daa26a0/documents/content/index/69bd4eaf00cd582225bee860","Insurance")</f>
        <v/>
      </c>
      <c r="G108" s="149" t="inlineStr">
        <is>
          <t>FOLDER</t>
        </is>
      </c>
      <c r="H108" s="149" t="n"/>
      <c r="I108" s="149" t="inlineStr">
        <is>
          <t>DOWNLOAD</t>
        </is>
      </c>
      <c r="J108" s="149" t="n"/>
      <c r="K108" s="149" t="inlineStr">
        <is>
          <t>Unread</t>
        </is>
      </c>
      <c r="L108" s="152" t="n">
        <v>46176.92764111111</v>
      </c>
      <c r="M108" s="149" t="inlineStr">
        <is>
          <t>69bd4eaf00cd582225bee860</t>
        </is>
      </c>
    </row>
    <row r="109">
      <c r="A109" t="inlineStr">
        <is>
          <t>Project Notos</t>
        </is>
      </c>
      <c r="B109" t="inlineStr">
        <is>
          <t>1.1.5.1</t>
        </is>
      </c>
      <c r="C109" s="15" t="inlineStr">
        <is>
          <t>ITT_insurance HDI_20260127</t>
        </is>
      </c>
      <c r="D109" s="20" t="inlineStr">
        <is>
          <t>Out-of-Scope</t>
        </is>
      </c>
      <c r="F109" s="151">
        <f>HYPERLINK("https://app.global.datasite.com/webviewer/?projectId=696652ec0dc07cc02daa26a0&amp;documentId=69bd414eb03e7d31c6a49272","ITT_insurance HDI_20260127")</f>
        <v/>
      </c>
      <c r="G109" t="inlineStr">
        <is>
          <t>DOCUMENT</t>
        </is>
      </c>
      <c r="H109" t="inlineStr">
        <is>
          <t>pdf</t>
        </is>
      </c>
      <c r="I109" t="inlineStr">
        <is>
          <t>DOWNLOAD</t>
        </is>
      </c>
      <c r="J109" t="n">
        <v>0.16429424</v>
      </c>
      <c r="K109" t="inlineStr">
        <is>
          <t>Unread</t>
        </is>
      </c>
      <c r="L109" s="153" t="n">
        <v>46176.92764111111</v>
      </c>
      <c r="M109" t="inlineStr">
        <is>
          <t>69bd414eb03e7d31c6a49272</t>
        </is>
      </c>
    </row>
    <row r="110">
      <c r="A110" t="inlineStr">
        <is>
          <t>Project Notos</t>
        </is>
      </c>
      <c r="B110" t="inlineStr">
        <is>
          <t>1.1.5.2</t>
        </is>
      </c>
      <c r="C110" s="15" t="inlineStr">
        <is>
          <t>ITT_insurance Ergo_</t>
        </is>
      </c>
      <c r="D110" s="20" t="inlineStr">
        <is>
          <t>Out-of-Scope</t>
        </is>
      </c>
      <c r="F110" s="151">
        <f>HYPERLINK("https://app.global.datasite.com/webviewer/?projectId=696652ec0dc07cc02daa26a0&amp;documentId=69bd41171daeb0f3b5e092de","ITT_insurance Ergo_")</f>
        <v/>
      </c>
      <c r="G110" t="inlineStr">
        <is>
          <t>DOCUMENT</t>
        </is>
      </c>
      <c r="H110" t="inlineStr">
        <is>
          <t>pdf</t>
        </is>
      </c>
      <c r="I110" t="inlineStr">
        <is>
          <t>DOWNLOAD</t>
        </is>
      </c>
      <c r="J110" t="n">
        <v>1.94327354</v>
      </c>
      <c r="K110" t="inlineStr">
        <is>
          <t>Unread</t>
        </is>
      </c>
      <c r="L110" s="153" t="n">
        <v>46176.92764111111</v>
      </c>
      <c r="M110" t="inlineStr">
        <is>
          <t>69bd41171daeb0f3b5e092de</t>
        </is>
      </c>
    </row>
    <row r="111">
      <c r="A111" t="inlineStr">
        <is>
          <t>Project Notos</t>
        </is>
      </c>
      <c r="B111" t="inlineStr">
        <is>
          <t>1.1.5.3</t>
        </is>
      </c>
      <c r="C111" s="15" t="inlineStr">
        <is>
          <t>ITT_insurance Ergo_</t>
        </is>
      </c>
      <c r="D111" s="20" t="inlineStr">
        <is>
          <t>Out-of-Scope</t>
        </is>
      </c>
      <c r="F111" s="151">
        <f>HYPERLINK("https://app.global.datasite.com/webviewer/?projectId=696652ec0dc07cc02daa26a0&amp;documentId=69bd41171daeb0f3b5e092df","ITT_insurance Ergo_")</f>
        <v/>
      </c>
      <c r="G111" t="inlineStr">
        <is>
          <t>DOCUMENT</t>
        </is>
      </c>
      <c r="H111" t="inlineStr">
        <is>
          <t>pdf</t>
        </is>
      </c>
      <c r="I111" t="inlineStr">
        <is>
          <t>DOWNLOAD</t>
        </is>
      </c>
      <c r="J111" t="n">
        <v>0.44468498</v>
      </c>
      <c r="K111" t="inlineStr">
        <is>
          <t>Unread</t>
        </is>
      </c>
      <c r="L111" s="153" t="n">
        <v>46176.92764111111</v>
      </c>
      <c r="M111" t="inlineStr">
        <is>
          <t>69bd41171daeb0f3b5e092df</t>
        </is>
      </c>
    </row>
    <row r="112">
      <c r="A112" t="inlineStr">
        <is>
          <t>Project Notos</t>
        </is>
      </c>
      <c r="B112" t="inlineStr">
        <is>
          <t>1.1.5.4</t>
        </is>
      </c>
      <c r="C112" s="15" t="inlineStr">
        <is>
          <t>ITT_insurance Ergo_20260306</t>
        </is>
      </c>
      <c r="D112" s="20" t="inlineStr">
        <is>
          <t>Out-of-Scope</t>
        </is>
      </c>
      <c r="F112" s="151">
        <f>HYPERLINK("https://app.global.datasite.com/webviewer/?projectId=696652ec0dc07cc02daa26a0&amp;documentId=69bd41171daeb0f3b5e092e0","ITT_insurance Ergo_20260306")</f>
        <v/>
      </c>
      <c r="G112" t="inlineStr">
        <is>
          <t>DOCUMENT</t>
        </is>
      </c>
      <c r="H112" t="inlineStr">
        <is>
          <t>pdf</t>
        </is>
      </c>
      <c r="I112" t="inlineStr">
        <is>
          <t>DOWNLOAD</t>
        </is>
      </c>
      <c r="J112" t="n">
        <v>0.64662361</v>
      </c>
      <c r="K112" t="inlineStr">
        <is>
          <t>Unread</t>
        </is>
      </c>
      <c r="L112" s="153" t="n">
        <v>46176.92764111111</v>
      </c>
      <c r="M112" t="inlineStr">
        <is>
          <t>69bd41171daeb0f3b5e092e0</t>
        </is>
      </c>
    </row>
    <row r="113">
      <c r="A113" t="inlineStr">
        <is>
          <t>Project Notos</t>
        </is>
      </c>
      <c r="B113" t="inlineStr">
        <is>
          <t>1.1.5.5</t>
        </is>
      </c>
      <c r="C113" s="15" t="inlineStr">
        <is>
          <t>ITT_insurance Ergo_</t>
        </is>
      </c>
      <c r="D113" s="20" t="inlineStr">
        <is>
          <t>Out-of-Scope</t>
        </is>
      </c>
      <c r="F113" s="151">
        <f>HYPERLINK("https://app.global.datasite.com/webviewer/?projectId=696652ec0dc07cc02daa26a0&amp;documentId=69bd41171daeb0f3b5e092e1","ITT_insurance Ergo_")</f>
        <v/>
      </c>
      <c r="G113" t="inlineStr">
        <is>
          <t>DOCUMENT</t>
        </is>
      </c>
      <c r="H113" t="inlineStr">
        <is>
          <t>pdf</t>
        </is>
      </c>
      <c r="I113" t="inlineStr">
        <is>
          <t>DOWNLOAD</t>
        </is>
      </c>
      <c r="J113" t="n">
        <v>0.51241779</v>
      </c>
      <c r="K113" t="inlineStr">
        <is>
          <t>Unread</t>
        </is>
      </c>
      <c r="L113" s="153" t="n">
        <v>46176.92764111111</v>
      </c>
      <c r="M113" t="inlineStr">
        <is>
          <t>69bd41171daeb0f3b5e092e1</t>
        </is>
      </c>
    </row>
    <row r="114">
      <c r="A114" t="inlineStr">
        <is>
          <t>Project Notos</t>
        </is>
      </c>
      <c r="B114" t="inlineStr">
        <is>
          <t>1.1.5.6</t>
        </is>
      </c>
      <c r="C114" s="15" t="inlineStr">
        <is>
          <t>ITT_insurance HDI_20260127</t>
        </is>
      </c>
      <c r="D114" s="20" t="inlineStr">
        <is>
          <t>Out-of-Scope</t>
        </is>
      </c>
      <c r="F114" s="151">
        <f>HYPERLINK("https://app.global.datasite.com/webviewer/?projectId=696652ec0dc07cc02daa26a0&amp;documentId=69bd40fa00cd582225bed3ec","ITT_insurance HDI_20260127")</f>
        <v/>
      </c>
      <c r="G114" t="inlineStr">
        <is>
          <t>DOCUMENT</t>
        </is>
      </c>
      <c r="H114" t="inlineStr">
        <is>
          <t>pdf</t>
        </is>
      </c>
      <c r="I114" t="inlineStr">
        <is>
          <t>DOWNLOAD</t>
        </is>
      </c>
      <c r="J114" t="n">
        <v>0.16403675</v>
      </c>
      <c r="K114" t="inlineStr">
        <is>
          <t>Unread</t>
        </is>
      </c>
      <c r="L114" s="153" t="n">
        <v>46176.92764111111</v>
      </c>
      <c r="M114" t="inlineStr">
        <is>
          <t>69bd40fa00cd582225bed3ec</t>
        </is>
      </c>
    </row>
    <row r="115">
      <c r="A115" s="149" t="inlineStr">
        <is>
          <t>Project Notos</t>
        </is>
      </c>
      <c r="B115" s="149" t="inlineStr">
        <is>
          <t>1.1.6</t>
        </is>
      </c>
      <c r="C115" s="17" t="inlineStr">
        <is>
          <t xml:space="preserve">Zabrze plant </t>
        </is>
      </c>
      <c r="D115" s="25" t="n"/>
      <c r="F115" s="150">
        <f>HYPERLINK("https://app.global.datasite.com/platform/container/696652ec0dc07cc02daa26a0/documents/content/index/69aeeb779f670c66bd89587a","Zabrze plant ")</f>
        <v/>
      </c>
      <c r="G115" s="149" t="inlineStr">
        <is>
          <t>FOLDER</t>
        </is>
      </c>
      <c r="H115" s="149" t="n"/>
      <c r="I115" s="149" t="inlineStr">
        <is>
          <t>DOWNLOAD</t>
        </is>
      </c>
      <c r="J115" s="149" t="n"/>
      <c r="K115" s="149" t="inlineStr">
        <is>
          <t>Unread</t>
        </is>
      </c>
      <c r="L115" s="152" t="n">
        <v>46176.92764111111</v>
      </c>
      <c r="M115" s="149" t="inlineStr">
        <is>
          <t>69aeeb779f670c66bd89587a</t>
        </is>
      </c>
    </row>
    <row r="116">
      <c r="A116" s="149" t="inlineStr">
        <is>
          <t>Project Notos</t>
        </is>
      </c>
      <c r="B116" s="149" t="inlineStr">
        <is>
          <t>1.1.6.1</t>
        </is>
      </c>
      <c r="C116" s="17" t="inlineStr">
        <is>
          <t>Company register</t>
        </is>
      </c>
      <c r="D116" s="25" t="n"/>
      <c r="F116" s="150">
        <f>HYPERLINK("https://app.global.datasite.com/platform/container/696652ec0dc07cc02daa26a0/documents/content/index/69aeeb8e034d131a33c78529","Company register")</f>
        <v/>
      </c>
      <c r="G116" s="149" t="inlineStr">
        <is>
          <t>FOLDER</t>
        </is>
      </c>
      <c r="H116" s="149" t="n"/>
      <c r="I116" s="149" t="inlineStr">
        <is>
          <t>DOWNLOAD</t>
        </is>
      </c>
      <c r="J116" s="149" t="n"/>
      <c r="K116" s="149" t="inlineStr">
        <is>
          <t>Unread</t>
        </is>
      </c>
      <c r="L116" s="152" t="n">
        <v>46176.92764111111</v>
      </c>
      <c r="M116" s="149" t="inlineStr">
        <is>
          <t>69aeeb8e034d131a33c78529</t>
        </is>
      </c>
    </row>
    <row r="117">
      <c r="A117" t="inlineStr">
        <is>
          <t>Project Notos</t>
        </is>
      </c>
      <c r="B117" t="inlineStr">
        <is>
          <t>1.1.6.1.1</t>
        </is>
      </c>
      <c r="C117" s="15" t="inlineStr">
        <is>
          <t>ITT-Zabrze Plant_register excerpt current_20260302</t>
        </is>
      </c>
      <c r="D117" s="20" t="inlineStr">
        <is>
          <t>Out-of-Scope</t>
        </is>
      </c>
      <c r="F117" s="151">
        <f>HYPERLINK("https://app.global.datasite.com/webviewer/?projectId=696652ec0dc07cc02daa26a0&amp;documentId=69a6c506240d271b4cdd54b0","ITT-Zabrze Plant_register excerpt current_20260302")</f>
        <v/>
      </c>
      <c r="G117" t="inlineStr">
        <is>
          <t>DOCUMENT</t>
        </is>
      </c>
      <c r="H117" t="inlineStr">
        <is>
          <t>pdf</t>
        </is>
      </c>
      <c r="I117" t="inlineStr">
        <is>
          <t>DOWNLOAD</t>
        </is>
      </c>
      <c r="J117" t="n">
        <v>0.03964996</v>
      </c>
      <c r="K117" t="inlineStr">
        <is>
          <t>Unread</t>
        </is>
      </c>
      <c r="L117" s="153" t="n">
        <v>46176.92764111111</v>
      </c>
      <c r="M117" t="inlineStr">
        <is>
          <t>69a6c506240d271b4cdd54b0</t>
        </is>
      </c>
    </row>
    <row r="118">
      <c r="A118" t="inlineStr">
        <is>
          <t>Project Notos</t>
        </is>
      </c>
      <c r="B118" t="inlineStr">
        <is>
          <t>1.1.6.1.2</t>
        </is>
      </c>
      <c r="C118" s="15" t="inlineStr">
        <is>
          <t>ITT-Zabrze Plant_register excerpt full_20260302</t>
        </is>
      </c>
      <c r="D118" s="20" t="inlineStr">
        <is>
          <t>Out-of-Scope</t>
        </is>
      </c>
      <c r="F118" s="151">
        <f>HYPERLINK("https://app.global.datasite.com/webviewer/?projectId=696652ec0dc07cc02daa26a0&amp;documentId=69a6c526f64a7be93c343b12","ITT-Zabrze Plant_register excerpt full_20260302")</f>
        <v/>
      </c>
      <c r="G118" t="inlineStr">
        <is>
          <t>DOCUMENT</t>
        </is>
      </c>
      <c r="H118" t="inlineStr">
        <is>
          <t>pdf</t>
        </is>
      </c>
      <c r="I118" t="inlineStr">
        <is>
          <t>DOWNLOAD</t>
        </is>
      </c>
      <c r="J118" t="n">
        <v>0.05647373</v>
      </c>
      <c r="K118" t="inlineStr">
        <is>
          <t>Unread</t>
        </is>
      </c>
      <c r="L118" s="153" t="n">
        <v>46176.92764111111</v>
      </c>
      <c r="M118" t="inlineStr">
        <is>
          <t>69a6c526f64a7be93c343b12</t>
        </is>
      </c>
    </row>
    <row r="119">
      <c r="A119" t="inlineStr">
        <is>
          <t>Project Notos</t>
        </is>
      </c>
      <c r="B119" t="inlineStr">
        <is>
          <t>1.1.6.1.3</t>
        </is>
      </c>
      <c r="C119" s="15" t="inlineStr">
        <is>
          <t>ITT-Zabrze Plant_establishing the branch office_20201028</t>
        </is>
      </c>
      <c r="D119" s="20" t="inlineStr">
        <is>
          <t>Out-of-Scope</t>
        </is>
      </c>
      <c r="F119" s="151">
        <f>HYPERLINK("https://app.global.datasite.com/webviewer/?projectId=696652ec0dc07cc02daa26a0&amp;documentId=69a70f51dbc47589819e1b9d","ITT-Zabrze Plant_establishing the branch office_20201028")</f>
        <v/>
      </c>
      <c r="G119" t="inlineStr">
        <is>
          <t>DOCUMENT</t>
        </is>
      </c>
      <c r="H119" t="inlineStr">
        <is>
          <t>pdf</t>
        </is>
      </c>
      <c r="I119" t="inlineStr">
        <is>
          <t>DOWNLOAD</t>
        </is>
      </c>
      <c r="J119" t="n">
        <v>1.36658287</v>
      </c>
      <c r="K119" t="inlineStr">
        <is>
          <t>Unread</t>
        </is>
      </c>
      <c r="L119" s="153" t="n">
        <v>46176.92764111111</v>
      </c>
      <c r="M119" t="inlineStr">
        <is>
          <t>69a70f51dbc47589819e1b9d</t>
        </is>
      </c>
    </row>
    <row r="120">
      <c r="A120" s="149" t="inlineStr">
        <is>
          <t>Project Notos</t>
        </is>
      </c>
      <c r="B120" s="149" t="inlineStr">
        <is>
          <t>1.1.6.2</t>
        </is>
      </c>
      <c r="C120" s="17" t="inlineStr">
        <is>
          <t>Representatives of the Polish branch</t>
        </is>
      </c>
      <c r="D120" s="25" t="n"/>
      <c r="F120" s="150">
        <f>HYPERLINK("https://app.global.datasite.com/platform/container/696652ec0dc07cc02daa26a0/documents/content/index/69aeebb40b057a2e2adc2c90","Representatives of the Polish branch")</f>
        <v/>
      </c>
      <c r="G120" s="149" t="inlineStr">
        <is>
          <t>FOLDER</t>
        </is>
      </c>
      <c r="H120" s="149" t="n"/>
      <c r="I120" s="149" t="inlineStr">
        <is>
          <t>DOWNLOAD</t>
        </is>
      </c>
      <c r="J120" s="149" t="n"/>
      <c r="K120" s="149" t="inlineStr">
        <is>
          <t>Unread</t>
        </is>
      </c>
      <c r="L120" s="152" t="n">
        <v>46176.92764111111</v>
      </c>
      <c r="M120" s="149" t="inlineStr">
        <is>
          <t>69aeebb40b057a2e2adc2c90</t>
        </is>
      </c>
    </row>
    <row r="121">
      <c r="A121" t="inlineStr">
        <is>
          <t>Project Notos</t>
        </is>
      </c>
      <c r="B121" t="inlineStr">
        <is>
          <t>1.1.6.2.1</t>
        </is>
      </c>
      <c r="C121" s="15" t="inlineStr">
        <is>
          <t>ITT-Zabrze Plant_change of representatives of the branch_20240820</t>
        </is>
      </c>
      <c r="D121" s="20" t="inlineStr">
        <is>
          <t>Out-of-Scope</t>
        </is>
      </c>
      <c r="F121" s="151">
        <f>HYPERLINK("https://app.global.datasite.com/webviewer/?projectId=696652ec0dc07cc02daa26a0&amp;documentId=69a6e439c285afd2509e19c9","ITT-Zabrze Plant_change of representatives of the branch_20240820")</f>
        <v/>
      </c>
      <c r="G121" t="inlineStr">
        <is>
          <t>DOCUMENT</t>
        </is>
      </c>
      <c r="H121" t="inlineStr">
        <is>
          <t>pdf</t>
        </is>
      </c>
      <c r="I121" t="inlineStr">
        <is>
          <t>DOWNLOAD</t>
        </is>
      </c>
      <c r="J121" t="n">
        <v>3.75743579</v>
      </c>
      <c r="K121" t="inlineStr">
        <is>
          <t>Unread</t>
        </is>
      </c>
      <c r="L121" s="153" t="n">
        <v>46176.92764111111</v>
      </c>
      <c r="M121" t="inlineStr">
        <is>
          <t>69a6e439c285afd2509e19c9</t>
        </is>
      </c>
    </row>
    <row r="122">
      <c r="A122" t="inlineStr">
        <is>
          <t>Project Notos</t>
        </is>
      </c>
      <c r="B122" t="inlineStr">
        <is>
          <t>1.1.6.2.2</t>
        </is>
      </c>
      <c r="C122" s="15" t="inlineStr">
        <is>
          <t>ITT-Zabrze Plant_change of representatives of the branch_20250425</t>
        </is>
      </c>
      <c r="D122" s="20" t="inlineStr">
        <is>
          <t>Out-of-Scope</t>
        </is>
      </c>
      <c r="F122" s="151">
        <f>HYPERLINK("https://app.global.datasite.com/webviewer/?projectId=696652ec0dc07cc02daa26a0&amp;documentId=69a6e439c285afd2509e19ca","ITT-Zabrze Plant_change of representatives of the branch_20250425")</f>
        <v/>
      </c>
      <c r="G122" t="inlineStr">
        <is>
          <t>DOCUMENT</t>
        </is>
      </c>
      <c r="H122" t="inlineStr">
        <is>
          <t>pdf</t>
        </is>
      </c>
      <c r="I122" t="inlineStr">
        <is>
          <t>DOWNLOAD</t>
        </is>
      </c>
      <c r="J122" t="n">
        <v>0.63929939</v>
      </c>
      <c r="K122" t="inlineStr">
        <is>
          <t>Unread</t>
        </is>
      </c>
      <c r="L122" s="153" t="n">
        <v>46176.92764111111</v>
      </c>
      <c r="M122" t="inlineStr">
        <is>
          <t>69a6e439c285afd2509e19ca</t>
        </is>
      </c>
    </row>
    <row r="123">
      <c r="A123" t="inlineStr">
        <is>
          <t>Project Notos</t>
        </is>
      </c>
      <c r="B123" t="inlineStr">
        <is>
          <t>1.1.6.2.3</t>
        </is>
      </c>
      <c r="C123" s="15" t="inlineStr">
        <is>
          <t>ITT-Zabrze Plant_resignation letter_20241003</t>
        </is>
      </c>
      <c r="D123" s="20" t="inlineStr">
        <is>
          <t>Out-of-Scope</t>
        </is>
      </c>
      <c r="F123" s="151">
        <f>HYPERLINK("https://app.global.datasite.com/webviewer/?projectId=696652ec0dc07cc02daa26a0&amp;documentId=69a6e439c285afd2509e19cb","ITT-Zabrze Plant_resignation letter_20241003")</f>
        <v/>
      </c>
      <c r="G123" t="inlineStr">
        <is>
          <t>DOCUMENT</t>
        </is>
      </c>
      <c r="H123" t="inlineStr">
        <is>
          <t>pdf</t>
        </is>
      </c>
      <c r="I123" t="inlineStr">
        <is>
          <t>DOWNLOAD</t>
        </is>
      </c>
      <c r="J123" t="n">
        <v>0.13965606</v>
      </c>
      <c r="K123" t="inlineStr">
        <is>
          <t>Unread</t>
        </is>
      </c>
      <c r="L123" s="153" t="n">
        <v>46176.92764111111</v>
      </c>
      <c r="M123" t="inlineStr">
        <is>
          <t>69a6e439c285afd2509e19cb</t>
        </is>
      </c>
    </row>
    <row r="124">
      <c r="A124" t="inlineStr">
        <is>
          <t>Project Notos</t>
        </is>
      </c>
      <c r="B124" t="inlineStr">
        <is>
          <t>1.1.6.2.4</t>
        </is>
      </c>
      <c r="C124" s="15" t="inlineStr">
        <is>
          <t>ITT-Zabrze Plant_consent to appointment_20240725</t>
        </is>
      </c>
      <c r="D124" s="20" t="inlineStr">
        <is>
          <t>Out-of-Scope</t>
        </is>
      </c>
      <c r="F124" s="151">
        <f>HYPERLINK("https://app.global.datasite.com/webviewer/?projectId=696652ec0dc07cc02daa26a0&amp;documentId=69a6e5120b057a2e2ad98906","ITT-Zabrze Plant_consent to appointment_20240725")</f>
        <v/>
      </c>
      <c r="G124" t="inlineStr">
        <is>
          <t>DOCUMENT</t>
        </is>
      </c>
      <c r="H124" t="inlineStr">
        <is>
          <t>pdf</t>
        </is>
      </c>
      <c r="I124" t="inlineStr">
        <is>
          <t>DOWNLOAD</t>
        </is>
      </c>
      <c r="J124" t="n">
        <v>0.17631053</v>
      </c>
      <c r="K124" t="inlineStr">
        <is>
          <t>Unread</t>
        </is>
      </c>
      <c r="L124" s="153" t="n">
        <v>46176.92764111111</v>
      </c>
      <c r="M124" t="inlineStr">
        <is>
          <t>69a6e5120b057a2e2ad98906</t>
        </is>
      </c>
    </row>
    <row r="125">
      <c r="A125" t="inlineStr">
        <is>
          <t>Project Notos</t>
        </is>
      </c>
      <c r="B125" t="inlineStr">
        <is>
          <t>1.1.6.2.5</t>
        </is>
      </c>
      <c r="C125" s="15" t="inlineStr">
        <is>
          <t>ITT-Zabrze Plant_consent to appointment_20240725</t>
        </is>
      </c>
      <c r="D125" s="20" t="inlineStr">
        <is>
          <t>Out-of-Scope</t>
        </is>
      </c>
      <c r="F125" s="151">
        <f>HYPERLINK("https://app.global.datasite.com/webviewer/?projectId=696652ec0dc07cc02daa26a0&amp;documentId=69a6e5120b057a2e2ad98907","ITT-Zabrze Plant_consent to appointment_20240725")</f>
        <v/>
      </c>
      <c r="G125" t="inlineStr">
        <is>
          <t>DOCUMENT</t>
        </is>
      </c>
      <c r="H125" t="inlineStr">
        <is>
          <t>pdf</t>
        </is>
      </c>
      <c r="I125" t="inlineStr">
        <is>
          <t>DOWNLOAD</t>
        </is>
      </c>
      <c r="J125" t="n">
        <v>0.21429443</v>
      </c>
      <c r="K125" t="inlineStr">
        <is>
          <t>Unread</t>
        </is>
      </c>
      <c r="L125" s="153" t="n">
        <v>46176.92764111111</v>
      </c>
      <c r="M125" t="inlineStr">
        <is>
          <t>69a6e5120b057a2e2ad98907</t>
        </is>
      </c>
    </row>
    <row r="126">
      <c r="A126" t="inlineStr">
        <is>
          <t>Project Notos</t>
        </is>
      </c>
      <c r="B126" t="inlineStr">
        <is>
          <t>1.1.6.2.6</t>
        </is>
      </c>
      <c r="C126" s="15" t="inlineStr">
        <is>
          <t>ITT-Zabrze Plant_consent to appointment_20240730</t>
        </is>
      </c>
      <c r="D126" s="20" t="inlineStr">
        <is>
          <t>Out-of-Scope</t>
        </is>
      </c>
      <c r="F126" s="151">
        <f>HYPERLINK("https://app.global.datasite.com/webviewer/?projectId=696652ec0dc07cc02daa26a0&amp;documentId=69a6e5120b057a2e2ad98908","ITT-Zabrze Plant_consent to appointment_20240730")</f>
        <v/>
      </c>
      <c r="G126" t="inlineStr">
        <is>
          <t>DOCUMENT</t>
        </is>
      </c>
      <c r="H126" t="inlineStr">
        <is>
          <t>pdf</t>
        </is>
      </c>
      <c r="I126" t="inlineStr">
        <is>
          <t>DOWNLOAD</t>
        </is>
      </c>
      <c r="J126" t="n">
        <v>0.28336524</v>
      </c>
      <c r="K126" t="inlineStr">
        <is>
          <t>Unread</t>
        </is>
      </c>
      <c r="L126" s="153" t="n">
        <v>46176.92764111111</v>
      </c>
      <c r="M126" t="inlineStr">
        <is>
          <t>69a6e5120b057a2e2ad98908</t>
        </is>
      </c>
    </row>
    <row r="127">
      <c r="A127" t="inlineStr">
        <is>
          <t>Project Notos</t>
        </is>
      </c>
      <c r="B127" t="inlineStr">
        <is>
          <t>1.1.6.2.7</t>
        </is>
      </c>
      <c r="C127" s="15" t="inlineStr">
        <is>
          <t>ITT-Zabrze Plant_consent to appointment_20240729</t>
        </is>
      </c>
      <c r="D127" s="20" t="inlineStr">
        <is>
          <t>Out-of-Scope</t>
        </is>
      </c>
      <c r="F127" s="151">
        <f>HYPERLINK("https://app.global.datasite.com/webviewer/?projectId=696652ec0dc07cc02daa26a0&amp;documentId=69a6e5120b057a2e2ad98909","ITT-Zabrze Plant_consent to appointment_20240729")</f>
        <v/>
      </c>
      <c r="G127" t="inlineStr">
        <is>
          <t>DOCUMENT</t>
        </is>
      </c>
      <c r="H127" t="inlineStr">
        <is>
          <t>pdf</t>
        </is>
      </c>
      <c r="I127" t="inlineStr">
        <is>
          <t>DOWNLOAD</t>
        </is>
      </c>
      <c r="J127" t="n">
        <v>0.24142265</v>
      </c>
      <c r="K127" t="inlineStr">
        <is>
          <t>Unread</t>
        </is>
      </c>
      <c r="L127" s="153" t="n">
        <v>46176.92764111111</v>
      </c>
      <c r="M127" t="inlineStr">
        <is>
          <t>69a6e5120b057a2e2ad98909</t>
        </is>
      </c>
    </row>
    <row r="128">
      <c r="A128" t="inlineStr">
        <is>
          <t>Project Notos</t>
        </is>
      </c>
      <c r="B128" t="inlineStr">
        <is>
          <t>1.1.6.2.8</t>
        </is>
      </c>
      <c r="C128" s="15" t="inlineStr">
        <is>
          <t>ITT-Zabrze Plant_consent to appointment_20250416</t>
        </is>
      </c>
      <c r="D128" s="20" t="inlineStr">
        <is>
          <t>Out-of-Scope</t>
        </is>
      </c>
      <c r="F128" s="151">
        <f>HYPERLINK("https://app.global.datasite.com/webviewer/?projectId=696652ec0dc07cc02daa26a0&amp;documentId=69a6e5cf07a2c2c5a77ad411","ITT-Zabrze Plant_consent to appointment_20250416")</f>
        <v/>
      </c>
      <c r="G128" t="inlineStr">
        <is>
          <t>DOCUMENT</t>
        </is>
      </c>
      <c r="H128" t="inlineStr">
        <is>
          <t>pdf</t>
        </is>
      </c>
      <c r="I128" t="inlineStr">
        <is>
          <t>DOWNLOAD</t>
        </is>
      </c>
      <c r="J128" t="n">
        <v>0.1839466</v>
      </c>
      <c r="K128" t="inlineStr">
        <is>
          <t>Unread</t>
        </is>
      </c>
      <c r="L128" s="153" t="n">
        <v>46176.92764111111</v>
      </c>
      <c r="M128" t="inlineStr">
        <is>
          <t>69a6e5cf07a2c2c5a77ad411</t>
        </is>
      </c>
    </row>
    <row r="129">
      <c r="A129" t="inlineStr">
        <is>
          <t>Project Notos</t>
        </is>
      </c>
      <c r="B129" t="inlineStr">
        <is>
          <t>1.1.6.2.9</t>
        </is>
      </c>
      <c r="C129" s="15" t="inlineStr">
        <is>
          <t>ITT-Zabrze Plant_consent to appointment_20250416</t>
        </is>
      </c>
      <c r="D129" s="20" t="inlineStr">
        <is>
          <t>Out-of-Scope</t>
        </is>
      </c>
      <c r="F129" s="151">
        <f>HYPERLINK("https://app.global.datasite.com/webviewer/?projectId=696652ec0dc07cc02daa26a0&amp;documentId=69a6e5cf07a2c2c5a77ad412","ITT-Zabrze Plant_consent to appointment_20250416")</f>
        <v/>
      </c>
      <c r="G129" t="inlineStr">
        <is>
          <t>DOCUMENT</t>
        </is>
      </c>
      <c r="H129" t="inlineStr">
        <is>
          <t>pdf</t>
        </is>
      </c>
      <c r="I129" t="inlineStr">
        <is>
          <t>DOWNLOAD</t>
        </is>
      </c>
      <c r="J129" t="n">
        <v>0.18383407</v>
      </c>
      <c r="K129" t="inlineStr">
        <is>
          <t>Unread</t>
        </is>
      </c>
      <c r="L129" s="153" t="n">
        <v>46176.92764111111</v>
      </c>
      <c r="M129" t="inlineStr">
        <is>
          <t>69a6e5cf07a2c2c5a77ad412</t>
        </is>
      </c>
    </row>
    <row r="130">
      <c r="A130" t="inlineStr">
        <is>
          <t>Project Notos</t>
        </is>
      </c>
      <c r="B130" t="inlineStr">
        <is>
          <t>1.1.6.2.10</t>
        </is>
      </c>
      <c r="C130" s="15" t="inlineStr">
        <is>
          <t>ITT_BR_assignment to Polish branch_2021</t>
        </is>
      </c>
      <c r="D130" s="20" t="inlineStr">
        <is>
          <t>Out-of-Scope</t>
        </is>
      </c>
      <c r="F130" s="151">
        <f>HYPERLINK("https://app.global.datasite.com/webviewer/?projectId=696652ec0dc07cc02daa26a0&amp;documentId=69a02cc074322950d4147a30","ITT_BR_assignment to Polish branch_2021")</f>
        <v/>
      </c>
      <c r="G130" t="inlineStr">
        <is>
          <t>DOCUMENT</t>
        </is>
      </c>
      <c r="H130" t="inlineStr">
        <is>
          <t>pdf</t>
        </is>
      </c>
      <c r="I130" t="inlineStr">
        <is>
          <t>DOWNLOAD</t>
        </is>
      </c>
      <c r="J130" t="n">
        <v>3.54976272</v>
      </c>
      <c r="K130" t="inlineStr">
        <is>
          <t>Unread</t>
        </is>
      </c>
      <c r="L130" s="153" t="n">
        <v>46176.92764111111</v>
      </c>
      <c r="M130" t="inlineStr">
        <is>
          <t>69a02cc074322950d4147a30</t>
        </is>
      </c>
    </row>
    <row r="131">
      <c r="A131" t="inlineStr">
        <is>
          <t>Project Notos</t>
        </is>
      </c>
      <c r="B131" t="inlineStr">
        <is>
          <t>1.1.6.2.11</t>
        </is>
      </c>
      <c r="C131" s="15" t="inlineStr">
        <is>
          <t>ITT_BR_establishment Polish branch_201028</t>
        </is>
      </c>
      <c r="D131" s="20" t="inlineStr">
        <is>
          <t>Out-of-Scope</t>
        </is>
      </c>
      <c r="F131" s="151">
        <f>HYPERLINK("https://app.global.datasite.com/webviewer/?projectId=696652ec0dc07cc02daa26a0&amp;documentId=69a04e51caf6fb585c1f0e40","ITT_BR_establishment Polish branch_201028")</f>
        <v/>
      </c>
      <c r="G131" t="inlineStr">
        <is>
          <t>DOCUMENT</t>
        </is>
      </c>
      <c r="H131" t="inlineStr">
        <is>
          <t>pdf</t>
        </is>
      </c>
      <c r="I131" t="inlineStr">
        <is>
          <t>DOWNLOAD</t>
        </is>
      </c>
      <c r="J131" t="n">
        <v>1.84569931</v>
      </c>
      <c r="K131" t="inlineStr">
        <is>
          <t>Unread</t>
        </is>
      </c>
      <c r="L131" s="153" t="n">
        <v>46176.92764111111</v>
      </c>
      <c r="M131" t="inlineStr">
        <is>
          <t>69a04e51caf6fb585c1f0e40</t>
        </is>
      </c>
    </row>
    <row r="132">
      <c r="A132" t="inlineStr">
        <is>
          <t>Project Notos</t>
        </is>
      </c>
      <c r="B132" t="inlineStr">
        <is>
          <t>1.1.6.2.12</t>
        </is>
      </c>
      <c r="C132" s="15" t="inlineStr">
        <is>
          <t>ITT_change of MD Polish branch_signed_part I_230112</t>
        </is>
      </c>
      <c r="D132" s="20" t="inlineStr">
        <is>
          <t>Out-of-Scope</t>
        </is>
      </c>
      <c r="F132" s="151">
        <f>HYPERLINK("https://app.global.datasite.com/webviewer/?projectId=696652ec0dc07cc02daa26a0&amp;documentId=69a045ab0b057a2e2ad5cb3f","ITT_change of MD Polish branch_signed_part I_230112")</f>
        <v/>
      </c>
      <c r="G132" t="inlineStr">
        <is>
          <t>DOCUMENT</t>
        </is>
      </c>
      <c r="H132" t="inlineStr">
        <is>
          <t>pdf</t>
        </is>
      </c>
      <c r="I132" t="inlineStr">
        <is>
          <t>DOWNLOAD</t>
        </is>
      </c>
      <c r="J132" t="n">
        <v>1.48653793</v>
      </c>
      <c r="K132" t="inlineStr">
        <is>
          <t>Unread</t>
        </is>
      </c>
      <c r="L132" s="153" t="n">
        <v>46176.92764111111</v>
      </c>
      <c r="M132" t="inlineStr">
        <is>
          <t>69a045ab0b057a2e2ad5cb3f</t>
        </is>
      </c>
    </row>
    <row r="133">
      <c r="A133" t="inlineStr">
        <is>
          <t>Project Notos</t>
        </is>
      </c>
      <c r="B133" t="inlineStr">
        <is>
          <t>1.1.6.2.13</t>
        </is>
      </c>
      <c r="C133" s="15" t="inlineStr">
        <is>
          <t>ITT_change of MD Polish branch_signed_part II_230112</t>
        </is>
      </c>
      <c r="D133" s="20" t="inlineStr">
        <is>
          <t>Out-of-Scope</t>
        </is>
      </c>
      <c r="F133" s="151">
        <f>HYPERLINK("https://app.global.datasite.com/webviewer/?projectId=696652ec0dc07cc02daa26a0&amp;documentId=69a045ab0b057a2e2ad5cb41","ITT_change of MD Polish branch_signed_part II_230112")</f>
        <v/>
      </c>
      <c r="G133" t="inlineStr">
        <is>
          <t>DOCUMENT</t>
        </is>
      </c>
      <c r="H133" t="inlineStr">
        <is>
          <t>pdf</t>
        </is>
      </c>
      <c r="I133" t="inlineStr">
        <is>
          <t>DOWNLOAD</t>
        </is>
      </c>
      <c r="J133" t="n">
        <v>0.91878223</v>
      </c>
      <c r="K133" t="inlineStr">
        <is>
          <t>Unread</t>
        </is>
      </c>
      <c r="L133" s="153" t="n">
        <v>46176.92764111111</v>
      </c>
      <c r="M133" t="inlineStr">
        <is>
          <t>69a045ab0b057a2e2ad5cb41</t>
        </is>
      </c>
    </row>
    <row r="134">
      <c r="A134" t="inlineStr">
        <is>
          <t>Project Notos</t>
        </is>
      </c>
      <c r="B134" t="inlineStr">
        <is>
          <t>1.1.6.2.14</t>
        </is>
      </c>
      <c r="C134" s="15" t="inlineStr">
        <is>
          <t>ITT_change of MD Polish branch_signed_part III_230112</t>
        </is>
      </c>
      <c r="D134" s="20" t="inlineStr">
        <is>
          <t>Out-of-Scope</t>
        </is>
      </c>
      <c r="F134" s="151">
        <f>HYPERLINK("https://app.global.datasite.com/webviewer/?projectId=696652ec0dc07cc02daa26a0&amp;documentId=69a046ef0b057a2e2ad5cb6d","ITT_change of MD Polish branch_signed_part III_230112")</f>
        <v/>
      </c>
      <c r="G134" t="inlineStr">
        <is>
          <t>DOCUMENT</t>
        </is>
      </c>
      <c r="H134" t="inlineStr">
        <is>
          <t>pdf</t>
        </is>
      </c>
      <c r="I134" t="inlineStr">
        <is>
          <t>DOWNLOAD</t>
        </is>
      </c>
      <c r="J134" t="n">
        <v>0.24486541</v>
      </c>
      <c r="K134" t="inlineStr">
        <is>
          <t>Unread</t>
        </is>
      </c>
      <c r="L134" s="153" t="n">
        <v>46176.92764111111</v>
      </c>
      <c r="M134" t="inlineStr">
        <is>
          <t>69a046ef0b057a2e2ad5cb6d</t>
        </is>
      </c>
    </row>
    <row r="135">
      <c r="A135" t="inlineStr">
        <is>
          <t>Project Notos</t>
        </is>
      </c>
      <c r="B135" t="inlineStr">
        <is>
          <t>1.1.6.2.15</t>
        </is>
      </c>
      <c r="C135" s="15" t="inlineStr">
        <is>
          <t>ITT_consent re appointment Polish branch_240729</t>
        </is>
      </c>
      <c r="D135" s="20" t="inlineStr">
        <is>
          <t>Out-of-Scope</t>
        </is>
      </c>
      <c r="F135" s="151">
        <f>HYPERLINK("https://app.global.datasite.com/webviewer/?projectId=696652ec0dc07cc02daa26a0&amp;documentId=69a06c2df64a7be93c316712","ITT_consent re appointment Polish branch_240729")</f>
        <v/>
      </c>
      <c r="G135" t="inlineStr">
        <is>
          <t>DOCUMENT</t>
        </is>
      </c>
      <c r="H135" t="inlineStr">
        <is>
          <t>pdf</t>
        </is>
      </c>
      <c r="I135" t="inlineStr">
        <is>
          <t>DOWNLOAD</t>
        </is>
      </c>
      <c r="J135" t="n">
        <v>0.51357173</v>
      </c>
      <c r="K135" t="inlineStr">
        <is>
          <t>Unread</t>
        </is>
      </c>
      <c r="L135" s="153" t="n">
        <v>46176.92764111111</v>
      </c>
      <c r="M135" t="inlineStr">
        <is>
          <t>69a06c2df64a7be93c316712</t>
        </is>
      </c>
    </row>
    <row r="136">
      <c r="A136" t="inlineStr">
        <is>
          <t>Project Notos</t>
        </is>
      </c>
      <c r="B136" t="inlineStr">
        <is>
          <t>1.1.6.2.16</t>
        </is>
      </c>
      <c r="C136" s="15" t="inlineStr">
        <is>
          <t>ITT_consent re appointment Polish branch_240730</t>
        </is>
      </c>
      <c r="D136" s="20" t="inlineStr">
        <is>
          <t>Out-of-Scope</t>
        </is>
      </c>
      <c r="F136" s="151">
        <f>HYPERLINK("https://app.global.datasite.com/webviewer/?projectId=696652ec0dc07cc02daa26a0&amp;documentId=69a06c2df64a7be93c316711","ITT_consent re appointment Polish branch_240730")</f>
        <v/>
      </c>
      <c r="G136" t="inlineStr">
        <is>
          <t>DOCUMENT</t>
        </is>
      </c>
      <c r="H136" t="inlineStr">
        <is>
          <t>pdf</t>
        </is>
      </c>
      <c r="I136" t="inlineStr">
        <is>
          <t>DOWNLOAD</t>
        </is>
      </c>
      <c r="J136" t="n">
        <v>0.55884075</v>
      </c>
      <c r="K136" t="inlineStr">
        <is>
          <t>Unread</t>
        </is>
      </c>
      <c r="L136" s="153" t="n">
        <v>46176.92764111111</v>
      </c>
      <c r="M136" t="inlineStr">
        <is>
          <t>69a06c2df64a7be93c316711</t>
        </is>
      </c>
    </row>
    <row r="137">
      <c r="A137" t="inlineStr">
        <is>
          <t>Project Notos</t>
        </is>
      </c>
      <c r="B137" t="inlineStr">
        <is>
          <t>1.1.6.2.17</t>
        </is>
      </c>
      <c r="C137" s="15" t="inlineStr">
        <is>
          <t>ITT_consent re appointment Polish branch_240725</t>
        </is>
      </c>
      <c r="D137" s="20" t="inlineStr">
        <is>
          <t>Out-of-Scope</t>
        </is>
      </c>
      <c r="F137" s="151">
        <f>HYPERLINK("https://app.global.datasite.com/webviewer/?projectId=696652ec0dc07cc02daa26a0&amp;documentId=69a06c2df64a7be93c316710","ITT_consent re appointment Polish branch_240725")</f>
        <v/>
      </c>
      <c r="G137" t="inlineStr">
        <is>
          <t>DOCUMENT</t>
        </is>
      </c>
      <c r="H137" t="inlineStr">
        <is>
          <t>pdf</t>
        </is>
      </c>
      <c r="I137" t="inlineStr">
        <is>
          <t>DOWNLOAD</t>
        </is>
      </c>
      <c r="J137" t="n">
        <v>0.85764122</v>
      </c>
      <c r="K137" t="inlineStr">
        <is>
          <t>Unread</t>
        </is>
      </c>
      <c r="L137" s="153" t="n">
        <v>46176.92764111111</v>
      </c>
      <c r="M137" t="inlineStr">
        <is>
          <t>69a06c2df64a7be93c316710</t>
        </is>
      </c>
    </row>
    <row r="138">
      <c r="A138" t="inlineStr">
        <is>
          <t>Project Notos</t>
        </is>
      </c>
      <c r="B138" t="inlineStr">
        <is>
          <t>1.1.6.2.18</t>
        </is>
      </c>
      <c r="C138" s="15" t="inlineStr">
        <is>
          <t>ITT_consent re appointment Polish branch_240725</t>
        </is>
      </c>
      <c r="D138" s="20" t="inlineStr">
        <is>
          <t>Out-of-Scope</t>
        </is>
      </c>
      <c r="F138" s="151">
        <f>HYPERLINK("https://app.global.datasite.com/webviewer/?projectId=696652ec0dc07cc02daa26a0&amp;documentId=69a06c2df64a7be93c31670f","ITT_consent re appointment Polish branch_240725")</f>
        <v/>
      </c>
      <c r="G138" t="inlineStr">
        <is>
          <t>DOCUMENT</t>
        </is>
      </c>
      <c r="H138" t="inlineStr">
        <is>
          <t>pdf</t>
        </is>
      </c>
      <c r="I138" t="inlineStr">
        <is>
          <t>DOWNLOAD</t>
        </is>
      </c>
      <c r="J138" t="n">
        <v>0.09038351999999999</v>
      </c>
      <c r="K138" t="inlineStr">
        <is>
          <t>Unread</t>
        </is>
      </c>
      <c r="L138" s="153" t="n">
        <v>46176.92764111111</v>
      </c>
      <c r="M138" t="inlineStr">
        <is>
          <t>69a06c2df64a7be93c31670f</t>
        </is>
      </c>
    </row>
    <row r="139">
      <c r="A139" t="inlineStr">
        <is>
          <t>Project Notos</t>
        </is>
      </c>
      <c r="B139" t="inlineStr">
        <is>
          <t>1.1.6.2.19</t>
        </is>
      </c>
      <c r="C139" s="15" t="inlineStr">
        <is>
          <t>ITT_management Polish branch_230317</t>
        </is>
      </c>
      <c r="D139" s="20" t="inlineStr">
        <is>
          <t>Out-of-Scope</t>
        </is>
      </c>
      <c r="F139" s="151">
        <f>HYPERLINK("https://app.global.datasite.com/webviewer/?projectId=696652ec0dc07cc02daa26a0&amp;documentId=69a0473220e1824fe950c4cc","ITT_management Polish branch_230317")</f>
        <v/>
      </c>
      <c r="G139" t="inlineStr">
        <is>
          <t>DOCUMENT</t>
        </is>
      </c>
      <c r="H139" t="inlineStr">
        <is>
          <t>pdf</t>
        </is>
      </c>
      <c r="I139" t="inlineStr">
        <is>
          <t>DOWNLOAD</t>
        </is>
      </c>
      <c r="J139" t="n">
        <v>1.25492286</v>
      </c>
      <c r="K139" t="inlineStr">
        <is>
          <t>Unread</t>
        </is>
      </c>
      <c r="L139" s="153" t="n">
        <v>46176.92764111111</v>
      </c>
      <c r="M139" t="inlineStr">
        <is>
          <t>69a0473220e1824fe950c4cc</t>
        </is>
      </c>
    </row>
    <row r="140">
      <c r="A140" t="inlineStr">
        <is>
          <t>Project Notos</t>
        </is>
      </c>
      <c r="B140" t="inlineStr">
        <is>
          <t>1.1.6.2.20</t>
        </is>
      </c>
      <c r="C140" s="15" t="inlineStr">
        <is>
          <t>ITT_management Polish branch_signed_part I_230317</t>
        </is>
      </c>
      <c r="D140" s="20" t="inlineStr">
        <is>
          <t>Out-of-Scope</t>
        </is>
      </c>
      <c r="F140" s="151">
        <f>HYPERLINK("https://app.global.datasite.com/webviewer/?projectId=696652ec0dc07cc02daa26a0&amp;documentId=69a0473220e1824fe950c4cd","ITT_management Polish branch_signed_part I_230317")</f>
        <v/>
      </c>
      <c r="G140" t="inlineStr">
        <is>
          <t>DOCUMENT</t>
        </is>
      </c>
      <c r="H140" t="inlineStr">
        <is>
          <t>pdf</t>
        </is>
      </c>
      <c r="I140" t="inlineStr">
        <is>
          <t>DOWNLOAD</t>
        </is>
      </c>
      <c r="J140" t="n">
        <v>0.24255752</v>
      </c>
      <c r="K140" t="inlineStr">
        <is>
          <t>Unread</t>
        </is>
      </c>
      <c r="L140" s="153" t="n">
        <v>46176.92764111111</v>
      </c>
      <c r="M140" t="inlineStr">
        <is>
          <t>69a0473220e1824fe950c4cd</t>
        </is>
      </c>
    </row>
    <row r="141">
      <c r="A141" t="inlineStr">
        <is>
          <t>Project Notos</t>
        </is>
      </c>
      <c r="B141" t="inlineStr">
        <is>
          <t>1.1.6.2.21</t>
        </is>
      </c>
      <c r="C141" s="15" t="inlineStr">
        <is>
          <t>ITT_management Polish branch_signed_part II_230317</t>
        </is>
      </c>
      <c r="D141" s="20" t="inlineStr">
        <is>
          <t>Out-of-Scope</t>
        </is>
      </c>
      <c r="F141" s="151">
        <f>HYPERLINK("https://app.global.datasite.com/webviewer/?projectId=696652ec0dc07cc02daa26a0&amp;documentId=69a0473220e1824fe950c4ce","ITT_management Polish branch_signed_part II_230317")</f>
        <v/>
      </c>
      <c r="G141" t="inlineStr">
        <is>
          <t>DOCUMENT</t>
        </is>
      </c>
      <c r="H141" t="inlineStr">
        <is>
          <t>pdf</t>
        </is>
      </c>
      <c r="I141" t="inlineStr">
        <is>
          <t>DOWNLOAD</t>
        </is>
      </c>
      <c r="J141" t="n">
        <v>0.68310928</v>
      </c>
      <c r="K141" t="inlineStr">
        <is>
          <t>Unread</t>
        </is>
      </c>
      <c r="L141" s="153" t="n">
        <v>46176.92764111111</v>
      </c>
      <c r="M141" t="inlineStr">
        <is>
          <t>69a0473220e1824fe950c4ce</t>
        </is>
      </c>
    </row>
    <row r="142">
      <c r="A142" t="inlineStr">
        <is>
          <t>Project Notos</t>
        </is>
      </c>
      <c r="B142" t="inlineStr">
        <is>
          <t>1.1.6.2.22</t>
        </is>
      </c>
      <c r="C142" s="15" t="inlineStr">
        <is>
          <t>ITT_manager of Polish branch_2022</t>
        </is>
      </c>
      <c r="D142" s="20" t="inlineStr">
        <is>
          <t>Out-of-Scope</t>
        </is>
      </c>
      <c r="F142" s="151">
        <f>HYPERLINK("https://app.global.datasite.com/webviewer/?projectId=696652ec0dc07cc02daa26a0&amp;documentId=69a0453144d59829d806f9d8","ITT_manager of Polish branch_2022")</f>
        <v/>
      </c>
      <c r="G142" t="inlineStr">
        <is>
          <t>DOCUMENT</t>
        </is>
      </c>
      <c r="H142" t="inlineStr">
        <is>
          <t>pdf</t>
        </is>
      </c>
      <c r="I142" t="inlineStr">
        <is>
          <t>DOWNLOAD</t>
        </is>
      </c>
      <c r="J142" t="n">
        <v>1.41914176</v>
      </c>
      <c r="K142" t="inlineStr">
        <is>
          <t>Unread</t>
        </is>
      </c>
      <c r="L142" s="153" t="n">
        <v>46176.92764111111</v>
      </c>
      <c r="M142" t="inlineStr">
        <is>
          <t>69a0453144d59829d806f9d8</t>
        </is>
      </c>
    </row>
    <row r="143">
      <c r="A143" s="149" t="inlineStr">
        <is>
          <t>Project Notos</t>
        </is>
      </c>
      <c r="B143" s="149" t="inlineStr">
        <is>
          <t>1.1.6.3</t>
        </is>
      </c>
      <c r="C143" s="17" t="inlineStr">
        <is>
          <t>Creation of Polish branch</t>
        </is>
      </c>
      <c r="D143" s="25" t="n"/>
      <c r="F143" s="150">
        <f>HYPERLINK("https://app.global.datasite.com/platform/container/696652ec0dc07cc02daa26a0/documents/content/index/69af1cab379ca3341b5b7cfb","Creation of Polish branch")</f>
        <v/>
      </c>
      <c r="G143" s="149" t="inlineStr">
        <is>
          <t>FOLDER</t>
        </is>
      </c>
      <c r="H143" s="149" t="n"/>
      <c r="I143" s="149" t="inlineStr">
        <is>
          <t>DOWNLOAD</t>
        </is>
      </c>
      <c r="J143" s="149" t="n"/>
      <c r="K143" s="149" t="inlineStr">
        <is>
          <t>Unread</t>
        </is>
      </c>
      <c r="L143" s="152" t="n">
        <v>46176.92764111111</v>
      </c>
      <c r="M143" s="149" t="inlineStr">
        <is>
          <t>69af1cab379ca3341b5b7cfb</t>
        </is>
      </c>
    </row>
    <row r="144">
      <c r="A144" t="inlineStr">
        <is>
          <t>Project Notos</t>
        </is>
      </c>
      <c r="B144" t="inlineStr">
        <is>
          <t>1.1.6.3.1</t>
        </is>
      </c>
      <c r="C144" s="15" t="inlineStr">
        <is>
          <t>ITT_BoM_Creation Poland Branch Office_20201028</t>
        </is>
      </c>
      <c r="D144" s="20" t="inlineStr">
        <is>
          <t>Out-of-Scope</t>
        </is>
      </c>
      <c r="F144" s="151">
        <f>HYPERLINK("https://app.global.datasite.com/webviewer/?projectId=696652ec0dc07cc02daa26a0&amp;documentId=69b01810dbc4758981a10f9c","ITT_BoM_Creation Poland Branch Office_20201028")</f>
        <v/>
      </c>
      <c r="G144" t="inlineStr">
        <is>
          <t>DOCUMENT</t>
        </is>
      </c>
      <c r="H144" t="inlineStr">
        <is>
          <t>pdf</t>
        </is>
      </c>
      <c r="I144" t="inlineStr">
        <is>
          <t>DOWNLOAD</t>
        </is>
      </c>
      <c r="J144" t="n">
        <v>1.99445533</v>
      </c>
      <c r="K144" t="inlineStr">
        <is>
          <t>Unread</t>
        </is>
      </c>
      <c r="L144" s="153" t="n">
        <v>46176.92764111111</v>
      </c>
      <c r="M144" t="inlineStr">
        <is>
          <t>69b01810dbc4758981a10f9c</t>
        </is>
      </c>
    </row>
    <row r="145">
      <c r="A145" t="inlineStr">
        <is>
          <t>Project Notos</t>
        </is>
      </c>
      <c r="B145" t="inlineStr">
        <is>
          <t>1.1.6.3.2</t>
        </is>
      </c>
      <c r="C145" s="15" t="inlineStr">
        <is>
          <t>ITT_WR SH_Creation Poland Branch_20201117</t>
        </is>
      </c>
      <c r="D145" s="20" t="inlineStr">
        <is>
          <t>Out-of-Scope</t>
        </is>
      </c>
      <c r="F145" s="151">
        <f>HYPERLINK("https://app.global.datasite.com/webviewer/?projectId=696652ec0dc07cc02daa26a0&amp;documentId=69b01df29f670c66bd89b28d","ITT_WR SH_Creation Poland Branch_20201117")</f>
        <v/>
      </c>
      <c r="G145" t="inlineStr">
        <is>
          <t>DOCUMENT</t>
        </is>
      </c>
      <c r="H145" t="inlineStr">
        <is>
          <t>pdf</t>
        </is>
      </c>
      <c r="I145" t="inlineStr">
        <is>
          <t>DOWNLOAD</t>
        </is>
      </c>
      <c r="J145" t="n">
        <v>0.10853672</v>
      </c>
      <c r="K145" t="inlineStr">
        <is>
          <t>Unread</t>
        </is>
      </c>
      <c r="L145" s="153" t="n">
        <v>46176.92764111111</v>
      </c>
      <c r="M145" t="inlineStr">
        <is>
          <t>69b01df29f670c66bd89b28d</t>
        </is>
      </c>
    </row>
    <row r="146">
      <c r="A146" s="149" t="inlineStr">
        <is>
          <t>Project Notos</t>
        </is>
      </c>
      <c r="B146" s="149" t="inlineStr">
        <is>
          <t>1.1.6.4</t>
        </is>
      </c>
      <c r="C146" s="17" t="inlineStr">
        <is>
          <t>Land register</t>
        </is>
      </c>
      <c r="D146" s="25" t="n"/>
      <c r="F146" s="150">
        <f>HYPERLINK("https://app.global.datasite.com/platform/container/696652ec0dc07cc02daa26a0/documents/content/index/69b0413b0b057a2e2adc924a","Land register")</f>
        <v/>
      </c>
      <c r="G146" s="149" t="inlineStr">
        <is>
          <t>FOLDER</t>
        </is>
      </c>
      <c r="H146" s="149" t="n"/>
      <c r="I146" s="149" t="inlineStr">
        <is>
          <t>DOWNLOAD</t>
        </is>
      </c>
      <c r="J146" s="149" t="n"/>
      <c r="K146" s="149" t="inlineStr">
        <is>
          <t>Unread</t>
        </is>
      </c>
      <c r="L146" s="152" t="n">
        <v>46176.92764111111</v>
      </c>
      <c r="M146" s="149" t="inlineStr">
        <is>
          <t>69b0413b0b057a2e2adc924a</t>
        </is>
      </c>
    </row>
    <row r="147">
      <c r="A147" t="inlineStr">
        <is>
          <t>Project Notos</t>
        </is>
      </c>
      <c r="B147" t="inlineStr">
        <is>
          <t>1.1.6.4.1</t>
        </is>
      </c>
      <c r="C147" s="15" t="inlineStr">
        <is>
          <t>ITT_Zabrze Plant_land registry excerpt_20181220</t>
        </is>
      </c>
      <c r="D147" s="20" t="inlineStr">
        <is>
          <t>Out-of-Scope</t>
        </is>
      </c>
      <c r="F147" s="151">
        <f>HYPERLINK("https://app.global.datasite.com/webviewer/?projectId=696652ec0dc07cc02daa26a0&amp;documentId=69a70fe1ce58006b44082d38","ITT_Zabrze Plant_land registry excerpt_20181220")</f>
        <v/>
      </c>
      <c r="G147" t="inlineStr">
        <is>
          <t>DOCUMENT</t>
        </is>
      </c>
      <c r="H147" t="inlineStr">
        <is>
          <t>pdf</t>
        </is>
      </c>
      <c r="I147" t="inlineStr">
        <is>
          <t>DOWNLOAD</t>
        </is>
      </c>
      <c r="J147" t="n">
        <v>1.06305027</v>
      </c>
      <c r="K147" t="inlineStr">
        <is>
          <t>Unread</t>
        </is>
      </c>
      <c r="L147" s="153" t="n">
        <v>46176.92764111111</v>
      </c>
      <c r="M147" t="inlineStr">
        <is>
          <t>69a70fe1ce58006b44082d38</t>
        </is>
      </c>
    </row>
    <row r="148">
      <c r="A148" t="inlineStr">
        <is>
          <t>Project Notos</t>
        </is>
      </c>
      <c r="B148" t="inlineStr">
        <is>
          <t>1.1.6.4.2</t>
        </is>
      </c>
      <c r="C148" s="15" t="inlineStr">
        <is>
          <t>ITT_WG.-II.6621.1207.2023</t>
        </is>
      </c>
      <c r="D148" s="20" t="inlineStr">
        <is>
          <t>Out-of-Scope</t>
        </is>
      </c>
      <c r="F148" s="151">
        <f>HYPERLINK("https://app.global.datasite.com/webviewer/?projectId=696652ec0dc07cc02daa26a0&amp;documentId=69cbff1fadc66d4b479bcef4","ITT_WG.-II.6621.1207.2023")</f>
        <v/>
      </c>
      <c r="G148" t="inlineStr">
        <is>
          <t>DOCUMENT</t>
        </is>
      </c>
      <c r="H148" t="inlineStr">
        <is>
          <t>pdf</t>
        </is>
      </c>
      <c r="I148" t="inlineStr">
        <is>
          <t>DOWNLOAD</t>
        </is>
      </c>
      <c r="J148" t="n">
        <v>0.2334671</v>
      </c>
      <c r="K148" t="inlineStr">
        <is>
          <t>Unread</t>
        </is>
      </c>
      <c r="L148" s="153" t="n">
        <v>46176.92764111111</v>
      </c>
      <c r="M148" t="inlineStr">
        <is>
          <t>69cbff1fadc66d4b479bcef4</t>
        </is>
      </c>
    </row>
    <row r="149">
      <c r="A149" t="inlineStr">
        <is>
          <t>Project Notos</t>
        </is>
      </c>
      <c r="B149" t="inlineStr">
        <is>
          <t>1.1.6.4.3</t>
        </is>
      </c>
      <c r="C149" s="15" t="inlineStr">
        <is>
          <t>ITT_ZAB-EST-land register map-23041</t>
        </is>
      </c>
      <c r="D149" s="20" t="inlineStr">
        <is>
          <t>Out-of-Scope</t>
        </is>
      </c>
      <c r="F149" s="151">
        <f>HYPERLINK("https://app.global.datasite.com/webviewer/?projectId=696652ec0dc07cc02daa26a0&amp;documentId=69cbff1fadc66d4b479bcef5","ITT_ZAB-EST-land register map-23041")</f>
        <v/>
      </c>
      <c r="G149" t="inlineStr">
        <is>
          <t>DOCUMENT</t>
        </is>
      </c>
      <c r="H149" t="inlineStr">
        <is>
          <t>pdf</t>
        </is>
      </c>
      <c r="I149" t="inlineStr">
        <is>
          <t>DOWNLOAD</t>
        </is>
      </c>
      <c r="J149" t="n">
        <v>0.38793563</v>
      </c>
      <c r="K149" t="inlineStr">
        <is>
          <t>Unread</t>
        </is>
      </c>
      <c r="L149" s="153" t="n">
        <v>46176.92764111111</v>
      </c>
      <c r="M149" t="inlineStr">
        <is>
          <t>69cbff1fadc66d4b479bcef5</t>
        </is>
      </c>
    </row>
    <row r="150">
      <c r="A150" s="149" t="inlineStr">
        <is>
          <t>Project Notos</t>
        </is>
      </c>
      <c r="B150" s="149" t="inlineStr">
        <is>
          <t>1.1.6.5</t>
        </is>
      </c>
      <c r="C150" s="17" t="inlineStr">
        <is>
          <t>Rental contract</t>
        </is>
      </c>
      <c r="D150" s="25" t="n"/>
      <c r="F150" s="150">
        <f>HYPERLINK("https://app.global.datasite.com/platform/container/696652ec0dc07cc02daa26a0/documents/content/index/69b04106eff3769089a6aa24","Rental contract")</f>
        <v/>
      </c>
      <c r="G150" s="149" t="inlineStr">
        <is>
          <t>FOLDER</t>
        </is>
      </c>
      <c r="H150" s="149" t="n"/>
      <c r="I150" s="149" t="inlineStr">
        <is>
          <t>DOWNLOAD</t>
        </is>
      </c>
      <c r="J150" s="149" t="n"/>
      <c r="K150" s="149" t="inlineStr">
        <is>
          <t>Unread</t>
        </is>
      </c>
      <c r="L150" s="152" t="n">
        <v>46176.92764111111</v>
      </c>
      <c r="M150" s="149" t="inlineStr">
        <is>
          <t>69b04106eff3769089a6aa24</t>
        </is>
      </c>
    </row>
    <row r="151">
      <c r="A151" s="149" t="inlineStr">
        <is>
          <t>Project Notos</t>
        </is>
      </c>
      <c r="B151" s="149" t="inlineStr">
        <is>
          <t>1.1.6.5.1</t>
        </is>
      </c>
      <c r="C151" s="17" t="inlineStr">
        <is>
          <t>Panattoni Warehouse</t>
        </is>
      </c>
      <c r="D151" s="25" t="n"/>
      <c r="F151" s="150">
        <f>HYPERLINK("https://app.global.datasite.com/platform/container/696652ec0dc07cc02daa26a0/documents/content/index/69cbe6b917350af3e89f894e","Panattoni Warehouse")</f>
        <v/>
      </c>
      <c r="G151" s="149" t="inlineStr">
        <is>
          <t>FOLDER</t>
        </is>
      </c>
      <c r="H151" s="149" t="n"/>
      <c r="I151" s="149" t="inlineStr">
        <is>
          <t>DOWNLOAD</t>
        </is>
      </c>
      <c r="J151" s="149" t="n"/>
      <c r="K151" s="149" t="inlineStr">
        <is>
          <t>Unread</t>
        </is>
      </c>
      <c r="L151" s="152" t="n">
        <v>46176.92764111111</v>
      </c>
      <c r="M151" s="149" t="inlineStr">
        <is>
          <t>69cbe6b917350af3e89f894e</t>
        </is>
      </c>
    </row>
    <row r="152">
      <c r="A152" t="inlineStr">
        <is>
          <t>Project Notos</t>
        </is>
      </c>
      <c r="B152" t="inlineStr">
        <is>
          <t>1.1.6.5.1.1</t>
        </is>
      </c>
      <c r="C152" s="15" t="inlineStr">
        <is>
          <t>ITT-Zabrze Plant_lease agreement Panattoni_202311</t>
        </is>
      </c>
      <c r="D152" s="20" t="inlineStr">
        <is>
          <t>Out-of-Scope</t>
        </is>
      </c>
      <c r="F152" s="151">
        <f>HYPERLINK("https://app.global.datasite.com/webviewer/?projectId=696652ec0dc07cc02daa26a0&amp;documentId=69a70f0607a2c2c5a77ae11c","ITT-Zabrze Plant_lease agreement Panattoni_202311")</f>
        <v/>
      </c>
      <c r="G152" t="inlineStr">
        <is>
          <t>DOCUMENT</t>
        </is>
      </c>
      <c r="H152" t="inlineStr">
        <is>
          <t>pdf</t>
        </is>
      </c>
      <c r="I152" t="inlineStr">
        <is>
          <t>DOWNLOAD</t>
        </is>
      </c>
      <c r="J152" t="n">
        <v>5.62806129</v>
      </c>
      <c r="K152" t="inlineStr">
        <is>
          <t>Unread</t>
        </is>
      </c>
      <c r="L152" s="153" t="n">
        <v>46176.92764111111</v>
      </c>
      <c r="M152" t="inlineStr">
        <is>
          <t>69a70f0607a2c2c5a77ae11c</t>
        </is>
      </c>
    </row>
    <row r="153">
      <c r="A153" t="inlineStr">
        <is>
          <t>Project Notos</t>
        </is>
      </c>
      <c r="B153" t="inlineStr">
        <is>
          <t>1.1.6.5.1.2</t>
        </is>
      </c>
      <c r="C153" s="15" t="inlineStr">
        <is>
          <t>ITT-Zabrze Plant_annex no. 1 te lease agreement Panattoni_202311</t>
        </is>
      </c>
      <c r="D153" s="20" t="inlineStr">
        <is>
          <t>Out-of-Scope</t>
        </is>
      </c>
      <c r="F153" s="151">
        <f>HYPERLINK("https://app.global.datasite.com/webviewer/?projectId=696652ec0dc07cc02daa26a0&amp;documentId=69a70f23c285afd2509e3460","ITT-Zabrze Plant_annex no. 1 te lease agreement Panattoni_202311")</f>
        <v/>
      </c>
      <c r="G153" t="inlineStr">
        <is>
          <t>DOCUMENT</t>
        </is>
      </c>
      <c r="H153" t="inlineStr">
        <is>
          <t>pdf</t>
        </is>
      </c>
      <c r="I153" t="inlineStr">
        <is>
          <t>DOWNLOAD</t>
        </is>
      </c>
      <c r="J153" t="n">
        <v>14.92223072</v>
      </c>
      <c r="K153" t="inlineStr">
        <is>
          <t>Unread</t>
        </is>
      </c>
      <c r="L153" s="153" t="n">
        <v>46176.92764111111</v>
      </c>
      <c r="M153" t="inlineStr">
        <is>
          <t>69a70f23c285afd2509e3460</t>
        </is>
      </c>
    </row>
    <row r="154">
      <c r="A154" s="149" t="inlineStr">
        <is>
          <t>Project Notos</t>
        </is>
      </c>
      <c r="B154" s="149" t="inlineStr">
        <is>
          <t>1.1.6.5.2</t>
        </is>
      </c>
      <c r="C154" s="17" t="inlineStr">
        <is>
          <t>CTP Warehouse</t>
        </is>
      </c>
      <c r="D154" s="25" t="n"/>
      <c r="F154" s="150">
        <f>HYPERLINK("https://app.global.datasite.com/platform/container/696652ec0dc07cc02daa26a0/documents/content/index/69cbe708c5c018b6482bb706","CTP Warehouse")</f>
        <v/>
      </c>
      <c r="G154" s="149" t="inlineStr">
        <is>
          <t>FOLDER</t>
        </is>
      </c>
      <c r="H154" s="149" t="n"/>
      <c r="I154" s="149" t="inlineStr">
        <is>
          <t>DOWNLOAD</t>
        </is>
      </c>
      <c r="J154" s="149" t="n"/>
      <c r="K154" s="149" t="inlineStr">
        <is>
          <t>Unread</t>
        </is>
      </c>
      <c r="L154" s="152" t="n">
        <v>46176.92764111111</v>
      </c>
      <c r="M154" s="149" t="inlineStr">
        <is>
          <t>69cbe708c5c018b6482bb706</t>
        </is>
      </c>
    </row>
    <row r="155">
      <c r="A155" t="inlineStr">
        <is>
          <t>Project Notos</t>
        </is>
      </c>
      <c r="B155" t="inlineStr">
        <is>
          <t>1.1.6.5.2.1</t>
        </is>
      </c>
      <c r="C155" s="15" t="inlineStr">
        <is>
          <t>ITT_warehouse lease agreement CTP_20240717</t>
        </is>
      </c>
      <c r="D155" s="20" t="inlineStr">
        <is>
          <t>Out-of-Scope</t>
        </is>
      </c>
      <c r="F155" s="151">
        <f>HYPERLINK("https://app.global.datasite.com/webviewer/?projectId=696652ec0dc07cc02daa26a0&amp;documentId=69bd41edb03e7d31c6a492b0","ITT_warehouse lease agreement CTP_20240717")</f>
        <v/>
      </c>
      <c r="G155" t="inlineStr">
        <is>
          <t>DOCUMENT</t>
        </is>
      </c>
      <c r="H155" t="inlineStr">
        <is>
          <t>pdf</t>
        </is>
      </c>
      <c r="I155" t="inlineStr">
        <is>
          <t>DOWNLOAD</t>
        </is>
      </c>
      <c r="J155" t="n">
        <v>5.21926975</v>
      </c>
      <c r="K155" t="inlineStr">
        <is>
          <t>Unread</t>
        </is>
      </c>
      <c r="L155" s="153" t="n">
        <v>46176.92764111111</v>
      </c>
      <c r="M155" t="inlineStr">
        <is>
          <t>69bd41edb03e7d31c6a492b0</t>
        </is>
      </c>
    </row>
    <row r="156">
      <c r="A156" s="154" t="inlineStr">
        <is>
          <t>Project Notos</t>
        </is>
      </c>
      <c r="B156" s="154" t="inlineStr">
        <is>
          <t>1.1.6.5.2.2</t>
        </is>
      </c>
      <c r="C156" s="155" t="inlineStr">
        <is>
          <t>CTP - Updated contract</t>
        </is>
      </c>
      <c r="D156" s="156" t="n"/>
      <c r="E156" s="156" t="n"/>
      <c r="F156" s="157">
        <f>HYPERLINK("https://app.global.datasite.com/platform/container/696652ec0dc07cc02daa26a0/documents/content/index/6a42524295c2eb855a60c924","CTP - Updated contract")</f>
        <v/>
      </c>
      <c r="G156" s="154" t="inlineStr">
        <is>
          <t>FOLDER</t>
        </is>
      </c>
      <c r="H156" s="154" t="n"/>
      <c r="I156" s="154" t="inlineStr">
        <is>
          <t>DOWNLOAD</t>
        </is>
      </c>
      <c r="J156" s="154" t="n"/>
      <c r="K156" s="154" t="inlineStr">
        <is>
          <t>Unread</t>
        </is>
      </c>
      <c r="L156" s="158" t="n">
        <v>46202.59871101852</v>
      </c>
      <c r="M156" s="154" t="inlineStr">
        <is>
          <t>6a42524295c2eb855a60c924</t>
        </is>
      </c>
    </row>
    <row r="157">
      <c r="A157" s="154" t="inlineStr">
        <is>
          <t>Project Notos</t>
        </is>
      </c>
      <c r="B157" s="154" t="inlineStr">
        <is>
          <t>1.1.6.5.2.2.1</t>
        </is>
      </c>
      <c r="C157" s="155" t="inlineStr">
        <is>
          <t>ITT_CTP_Lease Agreement 2024_Part1</t>
        </is>
      </c>
      <c r="D157" s="156" t="n"/>
      <c r="E157" s="156" t="n"/>
      <c r="F157" s="157">
        <f>HYPERLINK("https://app.global.datasite.com/webviewer/?projectId=696652ec0dc07cc02daa26a0&amp;documentId=6a4252c8988dd8db274a982b","ITT_CTP_Lease Agreement 2024_Part1")</f>
        <v/>
      </c>
      <c r="G157" s="154" t="inlineStr">
        <is>
          <t>DOCUMENT</t>
        </is>
      </c>
      <c r="H157" s="154" t="inlineStr">
        <is>
          <t>pdf</t>
        </is>
      </c>
      <c r="I157" s="154" t="inlineStr">
        <is>
          <t>DOWNLOAD</t>
        </is>
      </c>
      <c r="J157" s="154" t="n">
        <v>13.96794605</v>
      </c>
      <c r="K157" s="154" t="inlineStr">
        <is>
          <t>Unread</t>
        </is>
      </c>
      <c r="L157" s="158" t="n">
        <v>46202.59871101852</v>
      </c>
      <c r="M157" s="154" t="inlineStr">
        <is>
          <t>6a4252c8988dd8db274a982b</t>
        </is>
      </c>
    </row>
    <row r="158">
      <c r="A158" s="154" t="inlineStr">
        <is>
          <t>Project Notos</t>
        </is>
      </c>
      <c r="B158" s="154" t="inlineStr">
        <is>
          <t>1.1.6.5.2.2.2</t>
        </is>
      </c>
      <c r="C158" s="155" t="inlineStr">
        <is>
          <t>ITT_CTP_Lease Agreement 2024_Part2</t>
        </is>
      </c>
      <c r="D158" s="156" t="n"/>
      <c r="E158" s="156" t="n"/>
      <c r="F158" s="157">
        <f>HYPERLINK("https://app.global.datasite.com/webviewer/?projectId=696652ec0dc07cc02daa26a0&amp;documentId=6a4253138908b395e5e4b380","ITT_CTP_Lease Agreement 2024_Part2")</f>
        <v/>
      </c>
      <c r="G158" s="154" t="inlineStr">
        <is>
          <t>DOCUMENT</t>
        </is>
      </c>
      <c r="H158" s="154" t="inlineStr">
        <is>
          <t>pdf</t>
        </is>
      </c>
      <c r="I158" s="154" t="inlineStr">
        <is>
          <t>DOWNLOAD</t>
        </is>
      </c>
      <c r="J158" s="154" t="n">
        <v>9.25124263</v>
      </c>
      <c r="K158" s="154" t="inlineStr">
        <is>
          <t>Unread</t>
        </is>
      </c>
      <c r="L158" s="158" t="n">
        <v>46202.59871101852</v>
      </c>
      <c r="M158" s="154" t="inlineStr">
        <is>
          <t>6a4253138908b395e5e4b380</t>
        </is>
      </c>
    </row>
    <row r="159">
      <c r="A159" s="154" t="inlineStr">
        <is>
          <t>Project Notos</t>
        </is>
      </c>
      <c r="B159" s="154" t="inlineStr">
        <is>
          <t>1.1.6.5.2.2.3</t>
        </is>
      </c>
      <c r="C159" s="155" t="inlineStr">
        <is>
          <t>ITT_CTP_Lease Agreement 2024_Part3</t>
        </is>
      </c>
      <c r="D159" s="156" t="n"/>
      <c r="E159" s="156" t="n"/>
      <c r="F159" s="157">
        <f>HYPERLINK("https://app.global.datasite.com/webviewer/?projectId=696652ec0dc07cc02daa26a0&amp;documentId=6a4253138908b395e5e4b381","ITT_CTP_Lease Agreement 2024_Part3")</f>
        <v/>
      </c>
      <c r="G159" s="154" t="inlineStr">
        <is>
          <t>DOCUMENT</t>
        </is>
      </c>
      <c r="H159" s="154" t="inlineStr">
        <is>
          <t>pdf</t>
        </is>
      </c>
      <c r="I159" s="154" t="inlineStr">
        <is>
          <t>DOWNLOAD</t>
        </is>
      </c>
      <c r="J159" s="154" t="n">
        <v>10.92311191</v>
      </c>
      <c r="K159" s="154" t="inlineStr">
        <is>
          <t>Unread</t>
        </is>
      </c>
      <c r="L159" s="158" t="n">
        <v>46202.59871101852</v>
      </c>
      <c r="M159" s="154" t="inlineStr">
        <is>
          <t>6a4253138908b395e5e4b381</t>
        </is>
      </c>
    </row>
    <row r="160">
      <c r="A160" s="154" t="inlineStr">
        <is>
          <t>Project Notos</t>
        </is>
      </c>
      <c r="B160" s="154" t="inlineStr">
        <is>
          <t>1.1.6.5.2.2.4</t>
        </is>
      </c>
      <c r="C160" s="155" t="inlineStr">
        <is>
          <t>ITT_CTP_Lease Agreement 2024_Part4</t>
        </is>
      </c>
      <c r="D160" s="156" t="n"/>
      <c r="E160" s="156" t="n"/>
      <c r="F160" s="157">
        <f>HYPERLINK("https://app.global.datasite.com/webviewer/?projectId=696652ec0dc07cc02daa26a0&amp;documentId=6a4253138908b395e5e4b382","ITT_CTP_Lease Agreement 2024_Part4")</f>
        <v/>
      </c>
      <c r="G160" s="154" t="inlineStr">
        <is>
          <t>DOCUMENT</t>
        </is>
      </c>
      <c r="H160" s="154" t="inlineStr">
        <is>
          <t>pdf</t>
        </is>
      </c>
      <c r="I160" s="154" t="inlineStr">
        <is>
          <t>DOWNLOAD</t>
        </is>
      </c>
      <c r="J160" s="154" t="n">
        <v>1.35254287</v>
      </c>
      <c r="K160" s="154" t="inlineStr">
        <is>
          <t>Unread</t>
        </is>
      </c>
      <c r="L160" s="158" t="n">
        <v>46202.59871101852</v>
      </c>
      <c r="M160" s="154" t="inlineStr">
        <is>
          <t>6a4253138908b395e5e4b382</t>
        </is>
      </c>
    </row>
    <row r="161">
      <c r="A161" s="154" t="inlineStr">
        <is>
          <t>Project Notos</t>
        </is>
      </c>
      <c r="B161" s="154" t="inlineStr">
        <is>
          <t>1.1.6.5.2.2.5</t>
        </is>
      </c>
      <c r="C161" s="155" t="inlineStr">
        <is>
          <t>ITT_CTP_Lease Agreement 2024_Part5</t>
        </is>
      </c>
      <c r="D161" s="156" t="n"/>
      <c r="E161" s="156" t="n"/>
      <c r="F161" s="157">
        <f>HYPERLINK("https://app.global.datasite.com/webviewer/?projectId=696652ec0dc07cc02daa26a0&amp;documentId=6a4253138908b395e5e4b383","ITT_CTP_Lease Agreement 2024_Part5")</f>
        <v/>
      </c>
      <c r="G161" s="154" t="inlineStr">
        <is>
          <t>DOCUMENT</t>
        </is>
      </c>
      <c r="H161" s="154" t="inlineStr">
        <is>
          <t>pdf</t>
        </is>
      </c>
      <c r="I161" s="154" t="inlineStr">
        <is>
          <t>DOWNLOAD</t>
        </is>
      </c>
      <c r="J161" s="154" t="n">
        <v>8.71920776</v>
      </c>
      <c r="K161" s="154" t="inlineStr">
        <is>
          <t>Unread</t>
        </is>
      </c>
      <c r="L161" s="158" t="n">
        <v>46202.59871101852</v>
      </c>
      <c r="M161" s="154" t="inlineStr">
        <is>
          <t>6a4253138908b395e5e4b383</t>
        </is>
      </c>
    </row>
    <row r="162">
      <c r="A162" s="154" t="inlineStr">
        <is>
          <t>Project Notos</t>
        </is>
      </c>
      <c r="B162" s="154" t="inlineStr">
        <is>
          <t>1.1.6.5.2.2.6</t>
        </is>
      </c>
      <c r="C162" s="155" t="inlineStr">
        <is>
          <t>ITT_CTP_Lease Agreement 2024_Part6</t>
        </is>
      </c>
      <c r="D162" s="156" t="n"/>
      <c r="E162" s="156" t="n"/>
      <c r="F162" s="157">
        <f>HYPERLINK("https://app.global.datasite.com/webviewer/?projectId=696652ec0dc07cc02daa26a0&amp;documentId=6a4253138908b395e5e4b384","ITT_CTP_Lease Agreement 2024_Part6")</f>
        <v/>
      </c>
      <c r="G162" s="154" t="inlineStr">
        <is>
          <t>DOCUMENT</t>
        </is>
      </c>
      <c r="H162" s="154" t="inlineStr">
        <is>
          <t>pdf</t>
        </is>
      </c>
      <c r="I162" s="154" t="inlineStr">
        <is>
          <t>DOWNLOAD</t>
        </is>
      </c>
      <c r="J162" s="154" t="n">
        <v>5.17239761</v>
      </c>
      <c r="K162" s="154" t="inlineStr">
        <is>
          <t>Unread</t>
        </is>
      </c>
      <c r="L162" s="158" t="n">
        <v>46202.59871101852</v>
      </c>
      <c r="M162" s="154" t="inlineStr">
        <is>
          <t>6a4253138908b395e5e4b384</t>
        </is>
      </c>
    </row>
    <row r="163">
      <c r="A163" s="154" t="inlineStr">
        <is>
          <t>Project Notos</t>
        </is>
      </c>
      <c r="B163" s="154" t="inlineStr">
        <is>
          <t>1.1.6.5.2.2.7</t>
        </is>
      </c>
      <c r="C163" s="155" t="inlineStr">
        <is>
          <t>ITT_CTP_Lease Agreement 2024_Part7</t>
        </is>
      </c>
      <c r="D163" s="156" t="n"/>
      <c r="E163" s="156" t="n"/>
      <c r="F163" s="157">
        <f>HYPERLINK("https://app.global.datasite.com/webviewer/?projectId=696652ec0dc07cc02daa26a0&amp;documentId=6a4253138908b395e5e4b385","ITT_CTP_Lease Agreement 2024_Part7")</f>
        <v/>
      </c>
      <c r="G163" s="154" t="inlineStr">
        <is>
          <t>DOCUMENT</t>
        </is>
      </c>
      <c r="H163" s="154" t="inlineStr">
        <is>
          <t>pdf</t>
        </is>
      </c>
      <c r="I163" s="154" t="inlineStr">
        <is>
          <t>DOWNLOAD</t>
        </is>
      </c>
      <c r="J163" s="154" t="n">
        <v>5.63726615</v>
      </c>
      <c r="K163" s="154" t="inlineStr">
        <is>
          <t>Unread</t>
        </is>
      </c>
      <c r="L163" s="158" t="n">
        <v>46202.59871101852</v>
      </c>
      <c r="M163" s="154" t="inlineStr">
        <is>
          <t>6a4253138908b395e5e4b385</t>
        </is>
      </c>
    </row>
    <row r="164">
      <c r="A164" s="154" t="inlineStr">
        <is>
          <t>Project Notos</t>
        </is>
      </c>
      <c r="B164" s="154" t="inlineStr">
        <is>
          <t>1.1.6.5.2.2.8</t>
        </is>
      </c>
      <c r="C164" s="155" t="inlineStr">
        <is>
          <t>ITT_CTP_Lease Agreement 2024_Part8</t>
        </is>
      </c>
      <c r="D164" s="156" t="n"/>
      <c r="E164" s="156" t="n"/>
      <c r="F164" s="157">
        <f>HYPERLINK("https://app.global.datasite.com/webviewer/?projectId=696652ec0dc07cc02daa26a0&amp;documentId=6a4253138908b395e5e4b386","ITT_CTP_Lease Agreement 2024_Part8")</f>
        <v/>
      </c>
      <c r="G164" s="154" t="inlineStr">
        <is>
          <t>DOCUMENT</t>
        </is>
      </c>
      <c r="H164" s="154" t="inlineStr">
        <is>
          <t>pdf</t>
        </is>
      </c>
      <c r="I164" s="154" t="inlineStr">
        <is>
          <t>DOWNLOAD</t>
        </is>
      </c>
      <c r="J164" s="154" t="n">
        <v>8.737196920000001</v>
      </c>
      <c r="K164" s="154" t="inlineStr">
        <is>
          <t>Unread</t>
        </is>
      </c>
      <c r="L164" s="158" t="n">
        <v>46202.59871101852</v>
      </c>
      <c r="M164" s="154" t="inlineStr">
        <is>
          <t>6a4253138908b395e5e4b386</t>
        </is>
      </c>
    </row>
    <row r="165">
      <c r="A165" s="154" t="inlineStr">
        <is>
          <t>Project Notos</t>
        </is>
      </c>
      <c r="B165" s="154" t="inlineStr">
        <is>
          <t>1.1.6.5.2.2.9</t>
        </is>
      </c>
      <c r="C165" s="155" t="inlineStr">
        <is>
          <t>ITT_CTP_Lease Agreement 2024_Part9</t>
        </is>
      </c>
      <c r="D165" s="156" t="n"/>
      <c r="E165" s="156" t="n"/>
      <c r="F165" s="157">
        <f>HYPERLINK("https://app.global.datasite.com/webviewer/?projectId=696652ec0dc07cc02daa26a0&amp;documentId=6a4253138908b395e5e4b387","ITT_CTP_Lease Agreement 2024_Part9")</f>
        <v/>
      </c>
      <c r="G165" s="154" t="inlineStr">
        <is>
          <t>DOCUMENT</t>
        </is>
      </c>
      <c r="H165" s="154" t="inlineStr">
        <is>
          <t>pdf</t>
        </is>
      </c>
      <c r="I165" s="154" t="inlineStr">
        <is>
          <t>DOWNLOAD</t>
        </is>
      </c>
      <c r="J165" s="154" t="n">
        <v>4.05507087</v>
      </c>
      <c r="K165" s="154" t="inlineStr">
        <is>
          <t>Unread</t>
        </is>
      </c>
      <c r="L165" s="158" t="n">
        <v>46202.59871101852</v>
      </c>
      <c r="M165" s="154" t="inlineStr">
        <is>
          <t>6a4253138908b395e5e4b387</t>
        </is>
      </c>
    </row>
    <row r="166">
      <c r="A166" s="154" t="inlineStr">
        <is>
          <t>Project Notos</t>
        </is>
      </c>
      <c r="B166" s="154" t="inlineStr">
        <is>
          <t>1.1.6.5.2.2.10</t>
        </is>
      </c>
      <c r="C166" s="155" t="inlineStr">
        <is>
          <t>ITT_CTP_Lease Agreement 2024_Part10</t>
        </is>
      </c>
      <c r="D166" s="156" t="n"/>
      <c r="E166" s="156" t="n"/>
      <c r="F166" s="157">
        <f>HYPERLINK("https://app.global.datasite.com/webviewer/?projectId=696652ec0dc07cc02daa26a0&amp;documentId=6a4253138908b395e5e4b388","ITT_CTP_Lease Agreement 2024_Part10")</f>
        <v/>
      </c>
      <c r="G166" s="154" t="inlineStr">
        <is>
          <t>DOCUMENT</t>
        </is>
      </c>
      <c r="H166" s="154" t="inlineStr">
        <is>
          <t>pdf</t>
        </is>
      </c>
      <c r="I166" s="154" t="inlineStr">
        <is>
          <t>DOWNLOAD</t>
        </is>
      </c>
      <c r="J166" s="154" t="n">
        <v>11.38969993</v>
      </c>
      <c r="K166" s="154" t="inlineStr">
        <is>
          <t>Unread</t>
        </is>
      </c>
      <c r="L166" s="158" t="n">
        <v>46202.59871101852</v>
      </c>
      <c r="M166" s="154" t="inlineStr">
        <is>
          <t>6a4253138908b395e5e4b388</t>
        </is>
      </c>
    </row>
    <row r="167">
      <c r="A167" t="inlineStr">
        <is>
          <t>Project Notos</t>
        </is>
      </c>
      <c r="B167" t="inlineStr">
        <is>
          <t>1.1.6.5.3</t>
        </is>
      </c>
      <c r="C167" s="15" t="inlineStr">
        <is>
          <t>ITT-Zabrze Plant_lease agreement re Zabrze Plant_20190325</t>
        </is>
      </c>
      <c r="D167" s="20" t="inlineStr">
        <is>
          <t>Out-of-Scope</t>
        </is>
      </c>
      <c r="F167" s="151">
        <f>HYPERLINK("https://app.global.datasite.com/webviewer/?projectId=696652ec0dc07cc02daa26a0&amp;documentId=69a70eb1d4619de720bae997","ITT-Zabrze Plant_lease agreement re Zabrze Plant_20190325")</f>
        <v/>
      </c>
      <c r="G167" t="inlineStr">
        <is>
          <t>DOCUMENT</t>
        </is>
      </c>
      <c r="H167" t="inlineStr">
        <is>
          <t>pdf</t>
        </is>
      </c>
      <c r="I167" t="inlineStr">
        <is>
          <t>DOWNLOAD</t>
        </is>
      </c>
      <c r="J167" t="n">
        <v>26.41289997</v>
      </c>
      <c r="K167" t="inlineStr">
        <is>
          <t>Unread</t>
        </is>
      </c>
      <c r="L167" s="153" t="n">
        <v>46176.92764111111</v>
      </c>
      <c r="M167" t="inlineStr">
        <is>
          <t>69a70eb1d4619de720bae997</t>
        </is>
      </c>
    </row>
    <row r="168">
      <c r="A168" t="inlineStr">
        <is>
          <t>Project Notos</t>
        </is>
      </c>
      <c r="B168" t="inlineStr">
        <is>
          <t>1.1.6.5.4</t>
        </is>
      </c>
      <c r="C168" s="15" t="inlineStr">
        <is>
          <t>ITT-Zabrze Plant_annex no. 1 to lease agreement re Zabrze Plant_20200302</t>
        </is>
      </c>
      <c r="D168" s="20" t="inlineStr">
        <is>
          <t>Out-of-Scope</t>
        </is>
      </c>
      <c r="F168" s="151">
        <f>HYPERLINK("https://app.global.datasite.com/webviewer/?projectId=696652ec0dc07cc02daa26a0&amp;documentId=69a70ecece58006b44082bce","ITT-Zabrze Plant_annex no. 1 to lease agreement re Zabrze Plant_20200302")</f>
        <v/>
      </c>
      <c r="G168" t="inlineStr">
        <is>
          <t>DOCUMENT</t>
        </is>
      </c>
      <c r="H168" t="inlineStr">
        <is>
          <t>pdf</t>
        </is>
      </c>
      <c r="I168" t="inlineStr">
        <is>
          <t>DOWNLOAD</t>
        </is>
      </c>
      <c r="J168" t="n">
        <v>7.53073883</v>
      </c>
      <c r="K168" t="inlineStr">
        <is>
          <t>Unread</t>
        </is>
      </c>
      <c r="L168" s="153" t="n">
        <v>46176.92764111111</v>
      </c>
      <c r="M168" t="inlineStr">
        <is>
          <t>69a70ecece58006b44082bce</t>
        </is>
      </c>
    </row>
    <row r="169">
      <c r="A169" t="inlineStr">
        <is>
          <t>Project Notos</t>
        </is>
      </c>
      <c r="B169" t="inlineStr">
        <is>
          <t>1.1.6.5.5</t>
        </is>
      </c>
      <c r="C169" s="15" t="inlineStr">
        <is>
          <t>ITT-Zabrze Plant_annex no. 2 to lease agreement re Zabrze Plant_20201125</t>
        </is>
      </c>
      <c r="D169" s="20" t="inlineStr">
        <is>
          <t>Out-of-Scope</t>
        </is>
      </c>
      <c r="F169" s="151">
        <f>HYPERLINK("https://app.global.datasite.com/webviewer/?projectId=696652ec0dc07cc02daa26a0&amp;documentId=69a70ee10b057a2e2ad9973c","ITT-Zabrze Plant_annex no. 2 to lease agreement re Zabrze Plant_20201125")</f>
        <v/>
      </c>
      <c r="G169" t="inlineStr">
        <is>
          <t>DOCUMENT</t>
        </is>
      </c>
      <c r="H169" t="inlineStr">
        <is>
          <t>pdf</t>
        </is>
      </c>
      <c r="I169" t="inlineStr">
        <is>
          <t>DOWNLOAD</t>
        </is>
      </c>
      <c r="J169" t="n">
        <v>4.1150856</v>
      </c>
      <c r="K169" t="inlineStr">
        <is>
          <t>Unread</t>
        </is>
      </c>
      <c r="L169" s="153" t="n">
        <v>46176.92764111111</v>
      </c>
      <c r="M169" t="inlineStr">
        <is>
          <t>69a70ee10b057a2e2ad9973c</t>
        </is>
      </c>
    </row>
    <row r="170">
      <c r="A170" t="inlineStr">
        <is>
          <t>Project Notos</t>
        </is>
      </c>
      <c r="B170" t="inlineStr">
        <is>
          <t>1.1.6.5.6</t>
        </is>
      </c>
      <c r="C170" s="15" t="inlineStr">
        <is>
          <t>ITT-Zabrze Plant_annex no. 3 to lease agreement re Zabrze Plant_20210401</t>
        </is>
      </c>
      <c r="D170" s="20" t="inlineStr">
        <is>
          <t>Out-of-Scope</t>
        </is>
      </c>
      <c r="F170" s="151">
        <f>HYPERLINK("https://app.global.datasite.com/webviewer/?projectId=696652ec0dc07cc02daa26a0&amp;documentId=69a70eef9f670c66bd86ad47","ITT-Zabrze Plant_annex no. 3 to lease agreement re Zabrze Plant_20210401")</f>
        <v/>
      </c>
      <c r="G170" t="inlineStr">
        <is>
          <t>DOCUMENT</t>
        </is>
      </c>
      <c r="H170" t="inlineStr">
        <is>
          <t>pdf</t>
        </is>
      </c>
      <c r="I170" t="inlineStr">
        <is>
          <t>DOWNLOAD</t>
        </is>
      </c>
      <c r="J170" t="n">
        <v>2.96269798</v>
      </c>
      <c r="K170" t="inlineStr">
        <is>
          <t>Unread</t>
        </is>
      </c>
      <c r="L170" s="153" t="n">
        <v>46176.92764111111</v>
      </c>
      <c r="M170" t="inlineStr">
        <is>
          <t>69a70eef9f670c66bd86ad47</t>
        </is>
      </c>
    </row>
    <row r="171">
      <c r="A171" t="inlineStr">
        <is>
          <t>Project Notos</t>
        </is>
      </c>
      <c r="B171" t="inlineStr">
        <is>
          <t>1.1.6.5.7</t>
        </is>
      </c>
      <c r="C171" s="15" t="inlineStr">
        <is>
          <t>ITT-Zabrze Plant_letter with confirmation of the lease re Zabrze Plant_20240703</t>
        </is>
      </c>
      <c r="D171" s="20" t="inlineStr">
        <is>
          <t>Out-of-Scope</t>
        </is>
      </c>
      <c r="F171" s="151">
        <f>HYPERLINK("https://app.global.datasite.com/webviewer/?projectId=696652ec0dc07cc02daa26a0&amp;documentId=69a714cf240d271b4cdd7150","ITT-Zabrze Plant_letter with confirmation of the lease re Zabrze Plant_20240703")</f>
        <v/>
      </c>
      <c r="G171" t="inlineStr">
        <is>
          <t>DOCUMENT</t>
        </is>
      </c>
      <c r="H171" t="inlineStr">
        <is>
          <t>pdf</t>
        </is>
      </c>
      <c r="I171" t="inlineStr">
        <is>
          <t>DOWNLOAD</t>
        </is>
      </c>
      <c r="J171" t="n">
        <v>0.49430465</v>
      </c>
      <c r="K171" t="inlineStr">
        <is>
          <t>Unread</t>
        </is>
      </c>
      <c r="L171" s="153" t="n">
        <v>46176.92764111111</v>
      </c>
      <c r="M171" t="inlineStr">
        <is>
          <t>69a714cf240d271b4cdd7150</t>
        </is>
      </c>
    </row>
    <row r="172">
      <c r="A172" s="149" t="inlineStr">
        <is>
          <t>Project Notos</t>
        </is>
      </c>
      <c r="B172" s="149" t="inlineStr">
        <is>
          <t>1.1.6.6</t>
        </is>
      </c>
      <c r="C172" s="17" t="inlineStr">
        <is>
          <t>Permits</t>
        </is>
      </c>
      <c r="D172" s="25" t="n"/>
      <c r="F172" s="150">
        <f>HYPERLINK("https://app.global.datasite.com/platform/container/696652ec0dc07cc02daa26a0/documents/content/index/69af1c79caf6fb585c25afe9","Permits")</f>
        <v/>
      </c>
      <c r="G172" s="149" t="inlineStr">
        <is>
          <t>FOLDER</t>
        </is>
      </c>
      <c r="H172" s="149" t="n"/>
      <c r="I172" s="149" t="inlineStr">
        <is>
          <t>DOWNLOAD</t>
        </is>
      </c>
      <c r="J172" s="149" t="n"/>
      <c r="K172" s="149" t="inlineStr">
        <is>
          <t>Unread</t>
        </is>
      </c>
      <c r="L172" s="152" t="n">
        <v>46176.92764111111</v>
      </c>
      <c r="M172" s="149" t="inlineStr">
        <is>
          <t>69af1c79caf6fb585c25afe9</t>
        </is>
      </c>
    </row>
    <row r="173">
      <c r="A173" s="149" t="inlineStr">
        <is>
          <t>Project Notos</t>
        </is>
      </c>
      <c r="B173" s="149" t="inlineStr">
        <is>
          <t>1.1.6.6.1</t>
        </is>
      </c>
      <c r="C173" s="17" t="inlineStr">
        <is>
          <t>Air emission permit</t>
        </is>
      </c>
      <c r="D173" s="25" t="n"/>
      <c r="F173" s="150">
        <f>HYPERLINK("https://app.global.datasite.com/platform/container/696652ec0dc07cc02daa26a0/documents/content/index/69cce9f014eba47f877382e1","Air emission permit")</f>
        <v/>
      </c>
      <c r="G173" s="149" t="inlineStr">
        <is>
          <t>FOLDER</t>
        </is>
      </c>
      <c r="H173" s="149" t="n"/>
      <c r="I173" s="149" t="inlineStr">
        <is>
          <t>DOWNLOAD</t>
        </is>
      </c>
      <c r="J173" s="149" t="n"/>
      <c r="K173" s="149" t="inlineStr">
        <is>
          <t>Unread</t>
        </is>
      </c>
      <c r="L173" s="152" t="n">
        <v>46176.92764111111</v>
      </c>
      <c r="M173" s="149" t="inlineStr">
        <is>
          <t>69cce9f014eba47f877382e1</t>
        </is>
      </c>
    </row>
    <row r="174">
      <c r="A174" t="inlineStr">
        <is>
          <t>Project Notos</t>
        </is>
      </c>
      <c r="B174" t="inlineStr">
        <is>
          <t>1.1.6.6.1.1</t>
        </is>
      </c>
      <c r="C174" s="15" t="inlineStr">
        <is>
          <t>ITT_Decision Nr E/1 - 2023</t>
        </is>
      </c>
      <c r="D174" s="20" t="inlineStr">
        <is>
          <t>Out-of-Scope</t>
        </is>
      </c>
      <c r="F174" s="151">
        <f>HYPERLINK("https://app.global.datasite.com/webviewer/?projectId=696652ec0dc07cc02daa26a0&amp;documentId=69cce9f014eba47f877382e2","ITT_Decision Nr E/1 - 2023")</f>
        <v/>
      </c>
      <c r="G174" t="inlineStr">
        <is>
          <t>DOCUMENT</t>
        </is>
      </c>
      <c r="H174" t="inlineStr">
        <is>
          <t>jpg</t>
        </is>
      </c>
      <c r="I174" t="inlineStr">
        <is>
          <t>DOWNLOAD</t>
        </is>
      </c>
      <c r="J174" t="n">
        <v>0.12346458</v>
      </c>
      <c r="K174" t="inlineStr">
        <is>
          <t>Unread</t>
        </is>
      </c>
      <c r="L174" s="153" t="n">
        <v>46176.92764111111</v>
      </c>
      <c r="M174" t="inlineStr">
        <is>
          <t>69cce9f014eba47f877382e2</t>
        </is>
      </c>
    </row>
    <row r="175">
      <c r="A175" t="inlineStr">
        <is>
          <t>Project Notos</t>
        </is>
      </c>
      <c r="B175" t="inlineStr">
        <is>
          <t>1.1.6.6.1.2</t>
        </is>
      </c>
      <c r="C175" s="15" t="inlineStr">
        <is>
          <t>ITT_Decision Nr E/23 - 2024</t>
        </is>
      </c>
      <c r="D175" s="20" t="inlineStr">
        <is>
          <t>Out-of-Scope</t>
        </is>
      </c>
      <c r="F175" s="151">
        <f>HYPERLINK("https://app.global.datasite.com/webviewer/?projectId=696652ec0dc07cc02daa26a0&amp;documentId=69cce9f014eba47f877382e3","ITT_Decision Nr E/23 - 2024")</f>
        <v/>
      </c>
      <c r="G175" t="inlineStr">
        <is>
          <t>DOCUMENT</t>
        </is>
      </c>
      <c r="H175" t="inlineStr">
        <is>
          <t>jpg</t>
        </is>
      </c>
      <c r="I175" t="inlineStr">
        <is>
          <t>DOWNLOAD</t>
        </is>
      </c>
      <c r="J175" t="n">
        <v>0.13430118</v>
      </c>
      <c r="K175" t="inlineStr">
        <is>
          <t>Unread</t>
        </is>
      </c>
      <c r="L175" s="153" t="n">
        <v>46176.92764111111</v>
      </c>
      <c r="M175" t="inlineStr">
        <is>
          <t>69cce9f014eba47f877382e3</t>
        </is>
      </c>
    </row>
    <row r="176">
      <c r="A176" t="inlineStr">
        <is>
          <t>Project Notos</t>
        </is>
      </c>
      <c r="B176" t="inlineStr">
        <is>
          <t>1.1.6.6.1.3</t>
        </is>
      </c>
      <c r="C176" s="15" t="inlineStr">
        <is>
          <t>ITT-Zabrze Plant_pollutant emission permit_20230109</t>
        </is>
      </c>
      <c r="D176" s="20" t="inlineStr">
        <is>
          <t>Out-of-Scope</t>
        </is>
      </c>
      <c r="F176" s="151">
        <f>HYPERLINK("https://app.global.datasite.com/webviewer/?projectId=696652ec0dc07cc02daa26a0&amp;documentId=69a70f8820e1824fe95500b3","ITT-Zabrze Plant_pollutant emission permit_20230109")</f>
        <v/>
      </c>
      <c r="G176" t="inlineStr">
        <is>
          <t>DOCUMENT</t>
        </is>
      </c>
      <c r="H176" t="inlineStr">
        <is>
          <t>pdf</t>
        </is>
      </c>
      <c r="I176" t="inlineStr">
        <is>
          <t>DOWNLOAD</t>
        </is>
      </c>
      <c r="J176" t="n">
        <v>27.19884872</v>
      </c>
      <c r="K176" t="inlineStr">
        <is>
          <t>Unread</t>
        </is>
      </c>
      <c r="L176" s="153" t="n">
        <v>46176.92764111111</v>
      </c>
      <c r="M176" t="inlineStr">
        <is>
          <t>69a70f8820e1824fe95500b3</t>
        </is>
      </c>
    </row>
    <row r="177">
      <c r="A177" s="149" t="inlineStr">
        <is>
          <t>Project Notos</t>
        </is>
      </c>
      <c r="B177" s="149" t="inlineStr">
        <is>
          <t>1.1.6.6.2</t>
        </is>
      </c>
      <c r="C177" s="17" t="inlineStr">
        <is>
          <t>Plant construction documents</t>
        </is>
      </c>
      <c r="D177" s="25" t="n"/>
      <c r="F177" s="150">
        <f>HYPERLINK("https://app.global.datasite.com/platform/container/696652ec0dc07cc02daa26a0/documents/content/index/69ccea0c812f91856ba6677f","Plant construction documents")</f>
        <v/>
      </c>
      <c r="G177" s="149" t="inlineStr">
        <is>
          <t>FOLDER</t>
        </is>
      </c>
      <c r="H177" s="149" t="n"/>
      <c r="I177" s="149" t="inlineStr">
        <is>
          <t>DOWNLOAD</t>
        </is>
      </c>
      <c r="J177" s="149" t="n"/>
      <c r="K177" s="149" t="inlineStr">
        <is>
          <t>Unread</t>
        </is>
      </c>
      <c r="L177" s="152" t="n">
        <v>46176.92764111111</v>
      </c>
      <c r="M177" s="149" t="inlineStr">
        <is>
          <t>69ccea0c812f91856ba6677f</t>
        </is>
      </c>
    </row>
    <row r="178">
      <c r="A178" t="inlineStr">
        <is>
          <t>Project Notos</t>
        </is>
      </c>
      <c r="B178" t="inlineStr">
        <is>
          <t>1.1.6.6.2.1</t>
        </is>
      </c>
      <c r="C178" s="15" t="inlineStr">
        <is>
          <t>ITT_200722 Decyzja PNB nr 668-2020 ostateczna</t>
        </is>
      </c>
      <c r="D178" s="20" t="inlineStr">
        <is>
          <t>Out-of-Scope</t>
        </is>
      </c>
      <c r="F178" s="151">
        <f>HYPERLINK("https://app.global.datasite.com/webviewer/?projectId=696652ec0dc07cc02daa26a0&amp;documentId=69ccea0c812f91856ba66781","ITT_200722 Decyzja PNB nr 668-2020 ostateczna")</f>
        <v/>
      </c>
      <c r="G178" t="inlineStr">
        <is>
          <t>DOCUMENT</t>
        </is>
      </c>
      <c r="H178" t="inlineStr">
        <is>
          <t>pdf</t>
        </is>
      </c>
      <c r="I178" t="inlineStr">
        <is>
          <t>DOWNLOAD</t>
        </is>
      </c>
      <c r="J178" t="n">
        <v>1.08828735</v>
      </c>
      <c r="K178" t="inlineStr">
        <is>
          <t>Unread</t>
        </is>
      </c>
      <c r="L178" s="153" t="n">
        <v>46176.92764111111</v>
      </c>
      <c r="M178" t="inlineStr">
        <is>
          <t>69ccea0c812f91856ba66781</t>
        </is>
      </c>
    </row>
    <row r="179">
      <c r="A179" t="inlineStr">
        <is>
          <t>Project Notos</t>
        </is>
      </c>
      <c r="B179" t="inlineStr">
        <is>
          <t>1.1.6.6.2.2</t>
        </is>
      </c>
      <c r="C179" s="15" t="inlineStr">
        <is>
          <t>ITT_2021.03.02 Zaświadczenie - PnU 8-2021</t>
        </is>
      </c>
      <c r="D179" s="20" t="inlineStr">
        <is>
          <t>Out-of-Scope</t>
        </is>
      </c>
      <c r="F179" s="151">
        <f>HYPERLINK("https://app.global.datasite.com/webviewer/?projectId=696652ec0dc07cc02daa26a0&amp;documentId=69ccea0c812f91856ba66782","ITT_2021.03.02 Zaświadczenie - PnU 8-2021")</f>
        <v/>
      </c>
      <c r="G179" t="inlineStr">
        <is>
          <t>DOCUMENT</t>
        </is>
      </c>
      <c r="H179" t="inlineStr">
        <is>
          <t>pdf</t>
        </is>
      </c>
      <c r="I179" t="inlineStr">
        <is>
          <t>DOWNLOAD</t>
        </is>
      </c>
      <c r="J179" t="n">
        <v>0.6897068</v>
      </c>
      <c r="K179" t="inlineStr">
        <is>
          <t>Unread</t>
        </is>
      </c>
      <c r="L179" s="153" t="n">
        <v>46176.92764111111</v>
      </c>
      <c r="M179" t="inlineStr">
        <is>
          <t>69ccea0c812f91856ba66782</t>
        </is>
      </c>
    </row>
    <row r="180">
      <c r="A180" t="inlineStr">
        <is>
          <t>Project Notos</t>
        </is>
      </c>
      <c r="B180" t="inlineStr">
        <is>
          <t>1.1.6.6.2.3</t>
        </is>
      </c>
      <c r="C180" s="15" t="inlineStr">
        <is>
          <t>ITT_25017-ZAB-EST_Stacja azotu i silosy_PNB prawomocne</t>
        </is>
      </c>
      <c r="D180" s="20" t="inlineStr">
        <is>
          <t>Out-of-Scope</t>
        </is>
      </c>
      <c r="F180" s="151">
        <f>HYPERLINK("https://app.global.datasite.com/webviewer/?projectId=696652ec0dc07cc02daa26a0&amp;documentId=69ccea0c812f91856ba66783","ITT_25017-ZAB-EST_Stacja azotu i silosy_PNB prawomocne")</f>
        <v/>
      </c>
      <c r="G180" t="inlineStr">
        <is>
          <t>DOCUMENT</t>
        </is>
      </c>
      <c r="H180" t="inlineStr">
        <is>
          <t>pdf</t>
        </is>
      </c>
      <c r="I180" t="inlineStr">
        <is>
          <t>DOWNLOAD</t>
        </is>
      </c>
      <c r="J180" t="n">
        <v>1.61005592</v>
      </c>
      <c r="K180" t="inlineStr">
        <is>
          <t>Unread</t>
        </is>
      </c>
      <c r="L180" s="153" t="n">
        <v>46176.92764111111</v>
      </c>
      <c r="M180" t="inlineStr">
        <is>
          <t>69ccea0c812f91856ba66783</t>
        </is>
      </c>
    </row>
    <row r="181">
      <c r="A181" t="inlineStr">
        <is>
          <t>Project Notos</t>
        </is>
      </c>
      <c r="B181" t="inlineStr">
        <is>
          <t>1.1.6.6.2.4</t>
        </is>
      </c>
      <c r="C181" s="15" t="inlineStr">
        <is>
          <t>ITT_Nasadzenia umorzenie opłaty</t>
        </is>
      </c>
      <c r="D181" s="20" t="inlineStr">
        <is>
          <t>Out-of-Scope</t>
        </is>
      </c>
      <c r="F181" s="151">
        <f>HYPERLINK("https://app.global.datasite.com/webviewer/?projectId=696652ec0dc07cc02daa26a0&amp;documentId=69ccea0c812f91856ba66784","ITT_Nasadzenia umorzenie opłaty")</f>
        <v/>
      </c>
      <c r="G181" t="inlineStr">
        <is>
          <t>DOCUMENT</t>
        </is>
      </c>
      <c r="H181" t="inlineStr">
        <is>
          <t>pdf</t>
        </is>
      </c>
      <c r="I181" t="inlineStr">
        <is>
          <t>DOWNLOAD</t>
        </is>
      </c>
      <c r="J181" t="n">
        <v>2.18325233</v>
      </c>
      <c r="K181" t="inlineStr">
        <is>
          <t>Unread</t>
        </is>
      </c>
      <c r="L181" s="153" t="n">
        <v>46176.92764111111</v>
      </c>
      <c r="M181" t="inlineStr">
        <is>
          <t>69ccea0c812f91856ba66784</t>
        </is>
      </c>
    </row>
    <row r="182">
      <c r="A182" t="inlineStr">
        <is>
          <t>Project Notos</t>
        </is>
      </c>
      <c r="B182" t="inlineStr">
        <is>
          <t>1.1.6.6.2.5</t>
        </is>
      </c>
      <c r="C182" s="15" t="inlineStr">
        <is>
          <t>ITT_2025-08-02_DECYZJA OŚ-7-2025_prawomocna 2025.10.09 + post</t>
        </is>
      </c>
      <c r="D182" s="20" t="inlineStr">
        <is>
          <t>Out-of-Scope</t>
        </is>
      </c>
      <c r="F182" s="151">
        <f>HYPERLINK("https://app.global.datasite.com/webviewer/?projectId=696652ec0dc07cc02daa26a0&amp;documentId=69ccea0c812f91856ba66785","ITT_2025-08-02_DECYZJA OŚ-7-2025_prawomocna 2025.10.09 + post")</f>
        <v/>
      </c>
      <c r="G182" t="inlineStr">
        <is>
          <t>DOCUMENT</t>
        </is>
      </c>
      <c r="H182" t="inlineStr">
        <is>
          <t>pdf</t>
        </is>
      </c>
      <c r="I182" t="inlineStr">
        <is>
          <t>DOWNLOAD</t>
        </is>
      </c>
      <c r="J182" t="n">
        <v>15.6156969</v>
      </c>
      <c r="K182" t="inlineStr">
        <is>
          <t>Unread</t>
        </is>
      </c>
      <c r="L182" s="153" t="n">
        <v>46176.92764111111</v>
      </c>
      <c r="M182" t="inlineStr">
        <is>
          <t>69ccea0c812f91856ba66785</t>
        </is>
      </c>
    </row>
    <row r="183">
      <c r="A183" t="inlineStr">
        <is>
          <t>Project Notos</t>
        </is>
      </c>
      <c r="B183" t="inlineStr">
        <is>
          <t>1.1.6.6.2.6</t>
        </is>
      </c>
      <c r="C183" s="15" t="inlineStr">
        <is>
          <t>ITT_SKM_C25826020408220</t>
        </is>
      </c>
      <c r="D183" s="20" t="inlineStr">
        <is>
          <t>Out-of-Scope</t>
        </is>
      </c>
      <c r="F183" s="151">
        <f>HYPERLINK("https://app.global.datasite.com/webviewer/?projectId=696652ec0dc07cc02daa26a0&amp;documentId=69ccea0c812f91856ba66786","ITT_SKM_C25826020408220")</f>
        <v/>
      </c>
      <c r="G183" t="inlineStr">
        <is>
          <t>DOCUMENT</t>
        </is>
      </c>
      <c r="H183" t="inlineStr">
        <is>
          <t>pdf</t>
        </is>
      </c>
      <c r="I183" t="inlineStr">
        <is>
          <t>DOWNLOAD</t>
        </is>
      </c>
      <c r="J183" t="n">
        <v>3.88681697</v>
      </c>
      <c r="K183" t="inlineStr">
        <is>
          <t>Unread</t>
        </is>
      </c>
      <c r="L183" s="153" t="n">
        <v>46176.92764111111</v>
      </c>
      <c r="M183" t="inlineStr">
        <is>
          <t>69ccea0c812f91856ba66786</t>
        </is>
      </c>
    </row>
    <row r="184">
      <c r="A184" t="inlineStr">
        <is>
          <t>Project Notos</t>
        </is>
      </c>
      <c r="B184" t="inlineStr">
        <is>
          <t>1.1.6.6.2.7</t>
        </is>
      </c>
      <c r="C184" s="15" t="inlineStr">
        <is>
          <t xml:space="preserve">ITT_District Inspectorate of Construction_Zaświadczenie_8-2021_2021.03.02 </t>
        </is>
      </c>
      <c r="D184" s="20" t="inlineStr">
        <is>
          <t>Out-of-Scope</t>
        </is>
      </c>
      <c r="F184" s="151">
        <f>HYPERLINK("https://app.global.datasite.com/webviewer/?projectId=696652ec0dc07cc02daa26a0&amp;documentId=69cce6e421a5f7112204f601","ITT_District Inspectorate of Construction_Zaświadczenie_8-2021_2021.03.02 ")</f>
        <v/>
      </c>
      <c r="G184" t="inlineStr">
        <is>
          <t>DOCUMENT</t>
        </is>
      </c>
      <c r="H184" t="inlineStr">
        <is>
          <t>pdf</t>
        </is>
      </c>
      <c r="I184" t="inlineStr">
        <is>
          <t>DOWNLOAD</t>
        </is>
      </c>
      <c r="J184" t="n">
        <v>0.68739128</v>
      </c>
      <c r="K184" t="inlineStr">
        <is>
          <t>Unread</t>
        </is>
      </c>
      <c r="L184" s="153" t="n">
        <v>46176.92764111111</v>
      </c>
      <c r="M184" t="inlineStr">
        <is>
          <t>69cce6e421a5f7112204f601</t>
        </is>
      </c>
    </row>
    <row r="185">
      <c r="A185" t="inlineStr">
        <is>
          <t>Project Notos</t>
        </is>
      </c>
      <c r="B185" t="inlineStr">
        <is>
          <t>1.1.6.6.2.8</t>
        </is>
      </c>
      <c r="C185" s="15" t="inlineStr">
        <is>
          <t>ITT_Plan_19036-PB-Z_02-2020.09.11</t>
        </is>
      </c>
      <c r="D185" s="20" t="inlineStr">
        <is>
          <t>Out-of-Scope</t>
        </is>
      </c>
      <c r="F185" s="151">
        <f>HYPERLINK("https://app.global.datasite.com/webviewer/?projectId=696652ec0dc07cc02daa26a0&amp;documentId=69cce6e421a5f7112204f602","ITT_Plan_19036-PB-Z_02-2020.09.11")</f>
        <v/>
      </c>
      <c r="G185" t="inlineStr">
        <is>
          <t>DOCUMENT</t>
        </is>
      </c>
      <c r="H185" t="inlineStr">
        <is>
          <t>pdf</t>
        </is>
      </c>
      <c r="I185" t="inlineStr">
        <is>
          <t>DOWNLOAD</t>
        </is>
      </c>
      <c r="J185" t="n">
        <v>6.40879821</v>
      </c>
      <c r="K185" t="inlineStr">
        <is>
          <t>Unread</t>
        </is>
      </c>
      <c r="L185" s="153" t="n">
        <v>46176.92764111111</v>
      </c>
      <c r="M185" t="inlineStr">
        <is>
          <t>69cce6e421a5f7112204f602</t>
        </is>
      </c>
    </row>
    <row r="186">
      <c r="A186" s="149" t="inlineStr">
        <is>
          <t>Project Notos</t>
        </is>
      </c>
      <c r="B186" s="149" t="inlineStr">
        <is>
          <t>1.1.6.6.3</t>
        </is>
      </c>
      <c r="C186" s="17" t="inlineStr">
        <is>
          <t>Waste generation permit application</t>
        </is>
      </c>
      <c r="D186" s="25" t="n"/>
      <c r="F186" s="150">
        <f>HYPERLINK("https://app.global.datasite.com/platform/container/696652ec0dc07cc02daa26a0/documents/content/index/69ccea1c21a5f7112204f71f","Waste generation permit application")</f>
        <v/>
      </c>
      <c r="G186" s="149" t="inlineStr">
        <is>
          <t>FOLDER</t>
        </is>
      </c>
      <c r="H186" s="149" t="n"/>
      <c r="I186" s="149" t="inlineStr">
        <is>
          <t>DOWNLOAD</t>
        </is>
      </c>
      <c r="J186" s="149" t="n"/>
      <c r="K186" s="149" t="inlineStr">
        <is>
          <t>Unread</t>
        </is>
      </c>
      <c r="L186" s="152" t="n">
        <v>46176.92764111111</v>
      </c>
      <c r="M186" s="149" t="inlineStr">
        <is>
          <t>69ccea1c21a5f7112204f71f</t>
        </is>
      </c>
    </row>
    <row r="187">
      <c r="A187" t="inlineStr">
        <is>
          <t>Project Notos</t>
        </is>
      </c>
      <c r="B187" t="inlineStr">
        <is>
          <t>1.1.6.6.3.1</t>
        </is>
      </c>
      <c r="C187" s="15" t="inlineStr">
        <is>
          <t>ITT_Application 16.10.2025</t>
        </is>
      </c>
      <c r="D187" s="20" t="inlineStr">
        <is>
          <t>Out-of-Scope</t>
        </is>
      </c>
      <c r="F187" s="151">
        <f>HYPERLINK("https://app.global.datasite.com/webviewer/?projectId=696652ec0dc07cc02daa26a0&amp;documentId=69ccea1c21a5f7112204f720","ITT_Application 16.10.2025")</f>
        <v/>
      </c>
      <c r="G187" t="inlineStr">
        <is>
          <t>DOCUMENT</t>
        </is>
      </c>
      <c r="H187" t="inlineStr">
        <is>
          <t>pdf</t>
        </is>
      </c>
      <c r="I187" t="inlineStr">
        <is>
          <t>DOWNLOAD</t>
        </is>
      </c>
      <c r="J187" t="n">
        <v>0.13558673</v>
      </c>
      <c r="K187" t="inlineStr">
        <is>
          <t>Unread</t>
        </is>
      </c>
      <c r="L187" s="153" t="n">
        <v>46176.92764111111</v>
      </c>
      <c r="M187" t="inlineStr">
        <is>
          <t>69ccea1c21a5f7112204f720</t>
        </is>
      </c>
    </row>
    <row r="188">
      <c r="A188" t="inlineStr">
        <is>
          <t>Project Notos</t>
        </is>
      </c>
      <c r="B188" t="inlineStr">
        <is>
          <t>1.1.6.6.3.2</t>
        </is>
      </c>
      <c r="C188" s="15" t="inlineStr">
        <is>
          <t>ITT_Decision Nr E/10 - 2026</t>
        </is>
      </c>
      <c r="D188" s="20" t="inlineStr">
        <is>
          <t>Out-of-Scope</t>
        </is>
      </c>
      <c r="F188" s="151">
        <f>HYPERLINK("https://app.global.datasite.com/webviewer/?projectId=696652ec0dc07cc02daa26a0&amp;documentId=69ccea1c21a5f7112204f721","ITT_Decision Nr E/10 - 2026")</f>
        <v/>
      </c>
      <c r="G188" t="inlineStr">
        <is>
          <t>DOCUMENT</t>
        </is>
      </c>
      <c r="H188" t="inlineStr">
        <is>
          <t>jpg</t>
        </is>
      </c>
      <c r="I188" t="inlineStr">
        <is>
          <t>DOWNLOAD</t>
        </is>
      </c>
      <c r="J188" t="n">
        <v>0.17163658</v>
      </c>
      <c r="K188" t="inlineStr">
        <is>
          <t>Unread</t>
        </is>
      </c>
      <c r="L188" s="153" t="n">
        <v>46176.92764111111</v>
      </c>
      <c r="M188" t="inlineStr">
        <is>
          <t>69ccea1c21a5f7112204f721</t>
        </is>
      </c>
    </row>
    <row r="189">
      <c r="A189" t="inlineStr">
        <is>
          <t>Project Notos</t>
        </is>
      </c>
      <c r="B189" t="inlineStr">
        <is>
          <t>1.1.6.6.4</t>
        </is>
      </c>
      <c r="C189" s="15" t="inlineStr">
        <is>
          <t>ITT_Alba Ekoplus Invoice</t>
        </is>
      </c>
      <c r="D189" s="20" t="inlineStr">
        <is>
          <t>Out-of-Scope</t>
        </is>
      </c>
      <c r="F189" s="151">
        <f>HYPERLINK("https://app.global.datasite.com/webviewer/?projectId=696652ec0dc07cc02daa26a0&amp;documentId=69cc080419fec9a04e628c1d","ITT_Alba Ekoplus Invoice")</f>
        <v/>
      </c>
      <c r="G189" t="inlineStr">
        <is>
          <t>DOCUMENT</t>
        </is>
      </c>
      <c r="H189" t="inlineStr">
        <is>
          <t>pdf</t>
        </is>
      </c>
      <c r="I189" t="inlineStr">
        <is>
          <t>DOWNLOAD</t>
        </is>
      </c>
      <c r="J189" t="n">
        <v>0.03160381</v>
      </c>
      <c r="K189" t="inlineStr">
        <is>
          <t>Unread</t>
        </is>
      </c>
      <c r="L189" s="153" t="n">
        <v>46176.92764111111</v>
      </c>
      <c r="M189" t="inlineStr">
        <is>
          <t>69cc080419fec9a04e628c1d</t>
        </is>
      </c>
    </row>
    <row r="190">
      <c r="A190" s="149" t="inlineStr">
        <is>
          <t>Project Notos</t>
        </is>
      </c>
      <c r="B190" s="149" t="inlineStr">
        <is>
          <t>1.1.6.7</t>
        </is>
      </c>
      <c r="C190" s="17" t="inlineStr">
        <is>
          <t>Appraisal reports</t>
        </is>
      </c>
      <c r="D190" s="25" t="n"/>
      <c r="F190" s="150">
        <f>HYPERLINK("https://app.global.datasite.com/platform/container/696652ec0dc07cc02daa26a0/documents/content/index/69cc00781937d5b42e5558f3","Appraisal reports")</f>
        <v/>
      </c>
      <c r="G190" s="149" t="inlineStr">
        <is>
          <t>FOLDER</t>
        </is>
      </c>
      <c r="H190" s="149" t="n"/>
      <c r="I190" s="149" t="inlineStr">
        <is>
          <t>DOWNLOAD</t>
        </is>
      </c>
      <c r="J190" s="149" t="n"/>
      <c r="K190" s="149" t="inlineStr">
        <is>
          <t>Unread</t>
        </is>
      </c>
      <c r="L190" s="152" t="n">
        <v>46176.92764111111</v>
      </c>
      <c r="M190" s="149" t="inlineStr">
        <is>
          <t>69cc00781937d5b42e5558f3</t>
        </is>
      </c>
    </row>
    <row r="191">
      <c r="A191" t="inlineStr">
        <is>
          <t>Project Notos</t>
        </is>
      </c>
      <c r="B191" t="inlineStr">
        <is>
          <t>1.1.6.7.1</t>
        </is>
      </c>
      <c r="C191" s="15" t="inlineStr">
        <is>
          <t>ITT_Zabrze Wilczka 0625</t>
        </is>
      </c>
      <c r="D191" s="20" t="inlineStr">
        <is>
          <t>Out-of-Scope</t>
        </is>
      </c>
      <c r="F191" s="151">
        <f>HYPERLINK("https://app.global.datasite.com/webviewer/?projectId=696652ec0dc07cc02daa26a0&amp;documentId=69cc00ba8014561b861a19d9","ITT_Zabrze Wilczka 0625")</f>
        <v/>
      </c>
      <c r="G191" t="inlineStr">
        <is>
          <t>DOCUMENT</t>
        </is>
      </c>
      <c r="H191" t="inlineStr">
        <is>
          <t>pdf</t>
        </is>
      </c>
      <c r="I191" t="inlineStr">
        <is>
          <t>DOWNLOAD</t>
        </is>
      </c>
      <c r="J191" t="n">
        <v>3.88180255</v>
      </c>
      <c r="K191" t="inlineStr">
        <is>
          <t>Unread</t>
        </is>
      </c>
      <c r="L191" s="153" t="n">
        <v>46176.92764111111</v>
      </c>
      <c r="M191" t="inlineStr">
        <is>
          <t>69cc00ba8014561b861a19d9</t>
        </is>
      </c>
    </row>
    <row r="192">
      <c r="A192" s="149" t="inlineStr">
        <is>
          <t>Project Notos</t>
        </is>
      </c>
      <c r="B192" s="149" t="inlineStr">
        <is>
          <t>1.1.7</t>
        </is>
      </c>
      <c r="C192" s="17" t="inlineStr">
        <is>
          <t>Legal proceedings</t>
        </is>
      </c>
      <c r="D192" s="25" t="n"/>
      <c r="F192" s="150">
        <f>HYPERLINK("https://app.global.datasite.com/platform/container/696652ec0dc07cc02daa26a0/documents/content/index/69c100c110704bfbe0eafd7d","Legal proceedings")</f>
        <v/>
      </c>
      <c r="G192" s="149" t="inlineStr">
        <is>
          <t>FOLDER</t>
        </is>
      </c>
      <c r="H192" s="149" t="n"/>
      <c r="I192" s="149" t="inlineStr">
        <is>
          <t>DOWNLOAD</t>
        </is>
      </c>
      <c r="J192" s="149" t="n"/>
      <c r="K192" s="149" t="inlineStr">
        <is>
          <t>Unread</t>
        </is>
      </c>
      <c r="L192" s="152" t="n">
        <v>46176.92764111111</v>
      </c>
      <c r="M192" s="149" t="inlineStr">
        <is>
          <t>69c100c110704bfbe0eafd7d</t>
        </is>
      </c>
    </row>
    <row r="193">
      <c r="A193" t="inlineStr">
        <is>
          <t>Project Notos</t>
        </is>
      </c>
      <c r="B193" t="inlineStr">
        <is>
          <t>1.1.7.1</t>
        </is>
      </c>
      <c r="C193" s="15" t="inlineStr">
        <is>
          <t>ITT_description Wagner case_2017</t>
        </is>
      </c>
      <c r="D193" s="20" t="inlineStr">
        <is>
          <t>Out-of-Scope</t>
        </is>
      </c>
      <c r="F193" s="151">
        <f>HYPERLINK("https://app.global.datasite.com/webviewer/?projectId=696652ec0dc07cc02daa26a0&amp;documentId=69c100e010704bfbe0eafd80","ITT_description Wagner case_2017")</f>
        <v/>
      </c>
      <c r="G193" t="inlineStr">
        <is>
          <t>DOCUMENT</t>
        </is>
      </c>
      <c r="H193" t="inlineStr">
        <is>
          <t>pdf</t>
        </is>
      </c>
      <c r="I193" t="inlineStr">
        <is>
          <t>DOWNLOAD</t>
        </is>
      </c>
      <c r="J193" t="n">
        <v>0.19691467</v>
      </c>
      <c r="K193" t="inlineStr">
        <is>
          <t>Unread</t>
        </is>
      </c>
      <c r="L193" s="153" t="n">
        <v>46176.92764111111</v>
      </c>
      <c r="M193" t="inlineStr">
        <is>
          <t>69c100e010704bfbe0eafd80</t>
        </is>
      </c>
    </row>
    <row r="194">
      <c r="A194" t="inlineStr">
        <is>
          <t>Project Notos</t>
        </is>
      </c>
      <c r="B194" t="inlineStr">
        <is>
          <t>1.1.7.2</t>
        </is>
      </c>
      <c r="C194" s="15" t="inlineStr">
        <is>
          <t>ITT_executive summary_Wagner case_2017</t>
        </is>
      </c>
      <c r="D194" s="20" t="inlineStr">
        <is>
          <t>Out-of-Scope</t>
        </is>
      </c>
      <c r="F194" s="151">
        <f>HYPERLINK("https://app.global.datasite.com/webviewer/?projectId=696652ec0dc07cc02daa26a0&amp;documentId=69c100e010704bfbe0eafd81","ITT_executive summary_Wagner case_2017")</f>
        <v/>
      </c>
      <c r="G194" t="inlineStr">
        <is>
          <t>DOCUMENT</t>
        </is>
      </c>
      <c r="H194" t="inlineStr">
        <is>
          <t>docx</t>
        </is>
      </c>
      <c r="I194" t="inlineStr">
        <is>
          <t>DOWNLOAD</t>
        </is>
      </c>
      <c r="J194" t="n">
        <v>0.0163021</v>
      </c>
      <c r="K194" t="inlineStr">
        <is>
          <t>Unread</t>
        </is>
      </c>
      <c r="L194" s="153" t="n">
        <v>46176.92764111111</v>
      </c>
      <c r="M194" t="inlineStr">
        <is>
          <t>69c100e010704bfbe0eafd81</t>
        </is>
      </c>
    </row>
    <row r="195">
      <c r="A195" t="inlineStr">
        <is>
          <t>Project Notos</t>
        </is>
      </c>
      <c r="B195" t="inlineStr">
        <is>
          <t>1.1.7.3</t>
        </is>
      </c>
      <c r="C195" s="15" t="inlineStr">
        <is>
          <t>ITT_call for payment from Promus_20251106</t>
        </is>
      </c>
      <c r="D195" s="20" t="inlineStr">
        <is>
          <t>Out-of-Scope</t>
        </is>
      </c>
      <c r="F195" s="151">
        <f>HYPERLINK("https://app.global.datasite.com/webviewer/?projectId=696652ec0dc07cc02daa26a0&amp;documentId=69bd40642e2f239cf80f92bd","ITT_call for payment from Promus_20251106")</f>
        <v/>
      </c>
      <c r="G195" t="inlineStr">
        <is>
          <t>DOCUMENT</t>
        </is>
      </c>
      <c r="H195" t="inlineStr">
        <is>
          <t>pdf</t>
        </is>
      </c>
      <c r="I195" t="inlineStr">
        <is>
          <t>DOWNLOAD</t>
        </is>
      </c>
      <c r="J195" t="n">
        <v>0.91096878</v>
      </c>
      <c r="K195" t="inlineStr">
        <is>
          <t>Unread</t>
        </is>
      </c>
      <c r="L195" s="153" t="n">
        <v>46176.92764111111</v>
      </c>
      <c r="M195" t="inlineStr">
        <is>
          <t>69bd40642e2f239cf80f92bd</t>
        </is>
      </c>
    </row>
    <row r="196">
      <c r="A196" t="inlineStr">
        <is>
          <t>Project Notos</t>
        </is>
      </c>
      <c r="B196" t="inlineStr">
        <is>
          <t>1.1.7.4</t>
        </is>
      </c>
      <c r="C196" s="15" t="inlineStr">
        <is>
          <t>ITT_employment disputes_260319</t>
        </is>
      </c>
      <c r="D196" s="20" t="inlineStr">
        <is>
          <t>Out-of-Scope</t>
        </is>
      </c>
      <c r="F196" s="151">
        <f>HYPERLINK("https://app.global.datasite.com/webviewer/?projectId=696652ec0dc07cc02daa26a0&amp;documentId=69bd408b4c25e35a4fef4e4f","ITT_employment disputes_260319")</f>
        <v/>
      </c>
      <c r="G196" t="inlineStr">
        <is>
          <t>DOCUMENT</t>
        </is>
      </c>
      <c r="H196" t="inlineStr">
        <is>
          <t>pdf</t>
        </is>
      </c>
      <c r="I196" t="inlineStr">
        <is>
          <t>DOWNLOAD</t>
        </is>
      </c>
      <c r="J196" t="n">
        <v>0.01655483</v>
      </c>
      <c r="K196" t="inlineStr">
        <is>
          <t>Unread</t>
        </is>
      </c>
      <c r="L196" s="153" t="n">
        <v>46176.92764111111</v>
      </c>
      <c r="M196" t="inlineStr">
        <is>
          <t>69bd408b4c25e35a4fef4e4f</t>
        </is>
      </c>
    </row>
    <row r="197">
      <c r="A197" t="inlineStr">
        <is>
          <t>Project Notos</t>
        </is>
      </c>
      <c r="B197" t="inlineStr">
        <is>
          <t>1.1.7.5</t>
        </is>
      </c>
      <c r="C197" s="15" t="inlineStr">
        <is>
          <t>ITT_Summary Stilmar</t>
        </is>
      </c>
      <c r="D197" s="20" t="inlineStr">
        <is>
          <t>Out-of-Scope</t>
        </is>
      </c>
      <c r="F197" s="151">
        <f>HYPERLINK("https://app.global.datasite.com/webviewer/?projectId=696652ec0dc07cc02daa26a0&amp;documentId=69df9037ef626d3e63145734","ITT_Summary Stilmar")</f>
        <v/>
      </c>
      <c r="G197" t="inlineStr">
        <is>
          <t>DOCUMENT</t>
        </is>
      </c>
      <c r="H197" t="inlineStr">
        <is>
          <t>pdf</t>
        </is>
      </c>
      <c r="I197" t="inlineStr">
        <is>
          <t>DOWNLOAD</t>
        </is>
      </c>
      <c r="J197" t="n">
        <v>0.01112174</v>
      </c>
      <c r="K197" t="inlineStr">
        <is>
          <t>Unread</t>
        </is>
      </c>
      <c r="L197" s="153" t="n">
        <v>46176.92764111111</v>
      </c>
      <c r="M197" t="inlineStr">
        <is>
          <t>69df9037ef626d3e63145734</t>
        </is>
      </c>
    </row>
    <row r="198">
      <c r="A198" s="149" t="inlineStr">
        <is>
          <t>Project Notos</t>
        </is>
      </c>
      <c r="B198" s="149" t="inlineStr">
        <is>
          <t>1.1.8</t>
        </is>
      </c>
      <c r="C198" s="17" t="inlineStr">
        <is>
          <t>Office rental contract</t>
        </is>
      </c>
      <c r="D198" s="25" t="n"/>
      <c r="F198" s="150">
        <f>HYPERLINK("https://app.global.datasite.com/platform/container/696652ec0dc07cc02daa26a0/documents/content/index/69cbd8ce8afd4a56cbcc26ec","Office rental contract")</f>
        <v/>
      </c>
      <c r="G198" s="149" t="inlineStr">
        <is>
          <t>FOLDER</t>
        </is>
      </c>
      <c r="H198" s="149" t="n"/>
      <c r="I198" s="149" t="inlineStr">
        <is>
          <t>DOWNLOAD</t>
        </is>
      </c>
      <c r="J198" s="149" t="n"/>
      <c r="K198" s="149" t="inlineStr">
        <is>
          <t>Unread</t>
        </is>
      </c>
      <c r="L198" s="152" t="n">
        <v>46176.92764111111</v>
      </c>
      <c r="M198" s="149" t="inlineStr">
        <is>
          <t>69cbd8ce8afd4a56cbcc26ec</t>
        </is>
      </c>
    </row>
    <row r="199">
      <c r="A199" t="inlineStr">
        <is>
          <t>Project Notos</t>
        </is>
      </c>
      <c r="B199" t="inlineStr">
        <is>
          <t>1.1.8.1</t>
        </is>
      </c>
      <c r="C199" s="15" t="inlineStr">
        <is>
          <t>ITT_SISA Lux office rental</t>
        </is>
      </c>
      <c r="D199" s="20" t="inlineStr">
        <is>
          <t>Out-of-Scope</t>
        </is>
      </c>
      <c r="F199" s="151">
        <f>HYPERLINK("https://app.global.datasite.com/webviewer/?projectId=696652ec0dc07cc02daa26a0&amp;documentId=69cbd8f017350af3e89f85ba","ITT_SISA Lux office rental")</f>
        <v/>
      </c>
      <c r="G199" t="inlineStr">
        <is>
          <t>DOCUMENT</t>
        </is>
      </c>
      <c r="H199" t="inlineStr">
        <is>
          <t>pdf</t>
        </is>
      </c>
      <c r="I199" t="inlineStr">
        <is>
          <t>DOWNLOAD</t>
        </is>
      </c>
      <c r="J199" t="n">
        <v>0.96084594</v>
      </c>
      <c r="K199" t="inlineStr">
        <is>
          <t>Unread</t>
        </is>
      </c>
      <c r="L199" s="153" t="n">
        <v>46176.92764111111</v>
      </c>
      <c r="M199" t="inlineStr">
        <is>
          <t>69cbd8f017350af3e89f85ba</t>
        </is>
      </c>
    </row>
    <row r="200">
      <c r="A200" s="149" t="inlineStr">
        <is>
          <t>Project Notos</t>
        </is>
      </c>
      <c r="B200" s="149" t="inlineStr">
        <is>
          <t>1.1.9</t>
        </is>
      </c>
      <c r="C200" s="17" t="inlineStr">
        <is>
          <t>Data protection</t>
        </is>
      </c>
      <c r="D200" s="25" t="n"/>
      <c r="F200" s="150">
        <f>HYPERLINK("https://app.global.datasite.com/platform/container/696652ec0dc07cc02daa26a0/documents/content/index/69cf7c253cd9c2ad7d2a45a0","Data protection")</f>
        <v/>
      </c>
      <c r="G200" s="149" t="inlineStr">
        <is>
          <t>FOLDER</t>
        </is>
      </c>
      <c r="H200" s="149" t="n"/>
      <c r="I200" s="149" t="inlineStr">
        <is>
          <t>DOWNLOAD</t>
        </is>
      </c>
      <c r="J200" s="149" t="n"/>
      <c r="K200" s="149" t="inlineStr">
        <is>
          <t>Unread</t>
        </is>
      </c>
      <c r="L200" s="152" t="n">
        <v>46176.92764111111</v>
      </c>
      <c r="M200" s="149" t="inlineStr">
        <is>
          <t>69cf7c253cd9c2ad7d2a45a0</t>
        </is>
      </c>
    </row>
    <row r="201">
      <c r="A201" t="inlineStr">
        <is>
          <t>Project Notos</t>
        </is>
      </c>
      <c r="B201" t="inlineStr">
        <is>
          <t>1.1.9.1</t>
        </is>
      </c>
      <c r="C201" s="15" t="inlineStr">
        <is>
          <t>ITT_HR-PR-03 Privacy Policy Rev.3 (2) clean</t>
        </is>
      </c>
      <c r="D201" s="20" t="inlineStr">
        <is>
          <t>Out-of-Scope</t>
        </is>
      </c>
      <c r="F201" s="151">
        <f>HYPERLINK("https://app.global.datasite.com/webviewer/?projectId=696652ec0dc07cc02daa26a0&amp;documentId=69cf7c36812f91856ba7a14e","ITT_HR-PR-03 Privacy Policy Rev.3 (2) clean")</f>
        <v/>
      </c>
      <c r="G201" t="inlineStr">
        <is>
          <t>DOCUMENT</t>
        </is>
      </c>
      <c r="H201" t="inlineStr">
        <is>
          <t>pdf</t>
        </is>
      </c>
      <c r="I201" t="inlineStr">
        <is>
          <t>DOWNLOAD</t>
        </is>
      </c>
      <c r="J201" t="n">
        <v>0.2868967</v>
      </c>
      <c r="K201" t="inlineStr">
        <is>
          <t>Unread</t>
        </is>
      </c>
      <c r="L201" s="153" t="n">
        <v>46176.92764111111</v>
      </c>
      <c r="M201" t="inlineStr">
        <is>
          <t>69cf7c36812f91856ba7a14e</t>
        </is>
      </c>
    </row>
    <row r="202">
      <c r="A202" s="149" t="inlineStr">
        <is>
          <t>Project Notos</t>
        </is>
      </c>
      <c r="B202" s="149" t="inlineStr">
        <is>
          <t>1.1.9.2</t>
        </is>
      </c>
      <c r="C202" s="17" t="inlineStr">
        <is>
          <t>ITT_GDPR Policy – Annexes</t>
        </is>
      </c>
      <c r="D202" s="25" t="n"/>
      <c r="F202" s="150">
        <f>HYPERLINK("https://app.global.datasite.com/platform/container/696652ec0dc07cc02daa26a0/documents/content/index/69cf7c44d4ee2114935e0c31","ITT_GDPR Policy – Annexes")</f>
        <v/>
      </c>
      <c r="G202" s="149" t="inlineStr">
        <is>
          <t>FOLDER</t>
        </is>
      </c>
      <c r="H202" s="149" t="n"/>
      <c r="I202" s="149" t="inlineStr">
        <is>
          <t>DOWNLOAD</t>
        </is>
      </c>
      <c r="J202" s="149" t="n"/>
      <c r="K202" s="149" t="inlineStr">
        <is>
          <t>Unread</t>
        </is>
      </c>
      <c r="L202" s="152" t="n">
        <v>46176.92764111111</v>
      </c>
      <c r="M202" s="149" t="inlineStr">
        <is>
          <t>69cf7c44d4ee2114935e0c31</t>
        </is>
      </c>
    </row>
    <row r="203">
      <c r="A203" t="inlineStr">
        <is>
          <t>Project Notos</t>
        </is>
      </c>
      <c r="B203" t="inlineStr">
        <is>
          <t>1.1.9.2.1</t>
        </is>
      </c>
      <c r="C203" s="15" t="inlineStr">
        <is>
          <t>Annex-1Register of processing activities ok_redacted</t>
        </is>
      </c>
      <c r="D203" s="20" t="inlineStr">
        <is>
          <t>Out-of-Scope</t>
        </is>
      </c>
      <c r="F203" s="151">
        <f>HYPERLINK("https://app.global.datasite.com/webviewer/?projectId=696652ec0dc07cc02daa26a0&amp;documentId=69df40552b79ae33096bf8ec","Annex-1Register of processing activities ok_redacted")</f>
        <v/>
      </c>
      <c r="G203" t="inlineStr">
        <is>
          <t>DOCUMENT</t>
        </is>
      </c>
      <c r="H203" t="inlineStr">
        <is>
          <t>xlsx</t>
        </is>
      </c>
      <c r="I203" t="inlineStr">
        <is>
          <t>DOWNLOAD</t>
        </is>
      </c>
      <c r="J203" t="n">
        <v>0.02602863</v>
      </c>
      <c r="K203" t="inlineStr">
        <is>
          <t>Unread</t>
        </is>
      </c>
      <c r="L203" s="153" t="n">
        <v>46176.92764111111</v>
      </c>
      <c r="M203" t="inlineStr">
        <is>
          <t>69df40552b79ae33096bf8ec</t>
        </is>
      </c>
    </row>
    <row r="204">
      <c r="A204" t="inlineStr">
        <is>
          <t>Project Notos</t>
        </is>
      </c>
      <c r="B204" t="inlineStr">
        <is>
          <t>1.1.9.2.2</t>
        </is>
      </c>
      <c r="C204" s="15" t="inlineStr">
        <is>
          <t>Annex-2 Register of all categories of processing activities_redacted</t>
        </is>
      </c>
      <c r="D204" s="20" t="inlineStr">
        <is>
          <t>Out-of-Scope</t>
        </is>
      </c>
      <c r="F204" s="151">
        <f>HYPERLINK("https://app.global.datasite.com/webviewer/?projectId=696652ec0dc07cc02daa26a0&amp;documentId=69df428a9e1d736bea28ca1f","Annex-2 Register of all categories of processing activities_redacted")</f>
        <v/>
      </c>
      <c r="G204" t="inlineStr">
        <is>
          <t>DOCUMENT</t>
        </is>
      </c>
      <c r="H204" t="inlineStr">
        <is>
          <t>xlsx</t>
        </is>
      </c>
      <c r="I204" t="inlineStr">
        <is>
          <t>DOWNLOAD</t>
        </is>
      </c>
      <c r="J204" t="n">
        <v>0.02129364</v>
      </c>
      <c r="K204" t="inlineStr">
        <is>
          <t>Unread</t>
        </is>
      </c>
      <c r="L204" s="153" t="n">
        <v>46176.92764111111</v>
      </c>
      <c r="M204" t="inlineStr">
        <is>
          <t>69df428a9e1d736bea28ca1f</t>
        </is>
      </c>
    </row>
    <row r="205">
      <c r="A205" t="inlineStr">
        <is>
          <t>Project Notos</t>
        </is>
      </c>
      <c r="B205" t="inlineStr">
        <is>
          <t>1.1.9.2.3</t>
        </is>
      </c>
      <c r="C205" s="15" t="inlineStr">
        <is>
          <t>Annex-3_authorization to process personal data _new</t>
        </is>
      </c>
      <c r="D205" s="20" t="inlineStr">
        <is>
          <t>Out-of-Scope</t>
        </is>
      </c>
      <c r="F205" s="151">
        <f>HYPERLINK("https://app.global.datasite.com/webviewer/?projectId=696652ec0dc07cc02daa26a0&amp;documentId=69cf7c44d4ee2114935e0c34","Annex-3_authorization to process personal data _new")</f>
        <v/>
      </c>
      <c r="G205" t="inlineStr">
        <is>
          <t>DOCUMENT</t>
        </is>
      </c>
      <c r="H205" t="inlineStr">
        <is>
          <t>docx</t>
        </is>
      </c>
      <c r="I205" t="inlineStr">
        <is>
          <t>DOWNLOAD</t>
        </is>
      </c>
      <c r="J205" t="n">
        <v>0.03389739</v>
      </c>
      <c r="K205" t="inlineStr">
        <is>
          <t>Unread</t>
        </is>
      </c>
      <c r="L205" s="153" t="n">
        <v>46176.92764111111</v>
      </c>
      <c r="M205" t="inlineStr">
        <is>
          <t>69cf7c44d4ee2114935e0c34</t>
        </is>
      </c>
    </row>
    <row r="206">
      <c r="A206" t="inlineStr">
        <is>
          <t>Project Notos</t>
        </is>
      </c>
      <c r="B206" t="inlineStr">
        <is>
          <t>1.1.9.2.4</t>
        </is>
      </c>
      <c r="C206" s="15" t="inlineStr">
        <is>
          <t>Annex-4_employee confidentaility agreement_new</t>
        </is>
      </c>
      <c r="D206" s="20" t="inlineStr">
        <is>
          <t>Out-of-Scope</t>
        </is>
      </c>
      <c r="F206" s="151">
        <f>HYPERLINK("https://app.global.datasite.com/webviewer/?projectId=696652ec0dc07cc02daa26a0&amp;documentId=69cf7c44d4ee2114935e0c35","Annex-4_employee confidentaility agreement_new")</f>
        <v/>
      </c>
      <c r="G206" t="inlineStr">
        <is>
          <t>DOCUMENT</t>
        </is>
      </c>
      <c r="H206" t="inlineStr">
        <is>
          <t>docx</t>
        </is>
      </c>
      <c r="I206" t="inlineStr">
        <is>
          <t>DOWNLOAD</t>
        </is>
      </c>
      <c r="J206" t="n">
        <v>0.1481781</v>
      </c>
      <c r="K206" t="inlineStr">
        <is>
          <t>Unread</t>
        </is>
      </c>
      <c r="L206" s="153" t="n">
        <v>46176.92764111111</v>
      </c>
      <c r="M206" t="inlineStr">
        <is>
          <t>69cf7c44d4ee2114935e0c35</t>
        </is>
      </c>
    </row>
    <row r="207">
      <c r="A207" t="inlineStr">
        <is>
          <t>Project Notos</t>
        </is>
      </c>
      <c r="B207" t="inlineStr">
        <is>
          <t>1.1.9.2.5</t>
        </is>
      </c>
      <c r="C207" s="15" t="inlineStr">
        <is>
          <t>Annex-5_data processing agreement-template</t>
        </is>
      </c>
      <c r="D207" s="20" t="inlineStr">
        <is>
          <t>Out-of-Scope</t>
        </is>
      </c>
      <c r="F207" s="151">
        <f>HYPERLINK("https://app.global.datasite.com/webviewer/?projectId=696652ec0dc07cc02daa26a0&amp;documentId=69cf7c44d4ee2114935e0c36","Annex-5_data processing agreement-template")</f>
        <v/>
      </c>
      <c r="G207" t="inlineStr">
        <is>
          <t>DOCUMENT</t>
        </is>
      </c>
      <c r="H207" t="inlineStr">
        <is>
          <t>pdf</t>
        </is>
      </c>
      <c r="I207" t="inlineStr">
        <is>
          <t>DOWNLOAD</t>
        </is>
      </c>
      <c r="J207" t="n">
        <v>0.22667121</v>
      </c>
      <c r="K207" t="inlineStr">
        <is>
          <t>Unread</t>
        </is>
      </c>
      <c r="L207" s="153" t="n">
        <v>46176.92764111111</v>
      </c>
      <c r="M207" t="inlineStr">
        <is>
          <t>69cf7c44d4ee2114935e0c36</t>
        </is>
      </c>
    </row>
    <row r="208">
      <c r="A208" t="inlineStr">
        <is>
          <t>Project Notos</t>
        </is>
      </c>
      <c r="B208" t="inlineStr">
        <is>
          <t>1.1.9.2.6</t>
        </is>
      </c>
      <c r="C208" s="15" t="inlineStr">
        <is>
          <t>Annex-6_Register_of processors_entrustment</t>
        </is>
      </c>
      <c r="D208" s="20" t="inlineStr">
        <is>
          <t>Out-of-Scope</t>
        </is>
      </c>
      <c r="F208" s="151">
        <f>HYPERLINK("https://app.global.datasite.com/webviewer/?projectId=696652ec0dc07cc02daa26a0&amp;documentId=69cf7c44d4ee2114935e0c37","Annex-6_Register_of processors_entrustment")</f>
        <v/>
      </c>
      <c r="G208" t="inlineStr">
        <is>
          <t>DOCUMENT</t>
        </is>
      </c>
      <c r="H208" t="inlineStr">
        <is>
          <t>xlsx</t>
        </is>
      </c>
      <c r="I208" t="inlineStr">
        <is>
          <t>DOWNLOAD</t>
        </is>
      </c>
      <c r="J208" t="n">
        <v>0.0163927</v>
      </c>
      <c r="K208" t="inlineStr">
        <is>
          <t>Unread</t>
        </is>
      </c>
      <c r="L208" s="153" t="n">
        <v>46176.92764111111</v>
      </c>
      <c r="M208" t="inlineStr">
        <is>
          <t>69cf7c44d4ee2114935e0c37</t>
        </is>
      </c>
    </row>
    <row r="209">
      <c r="A209" t="inlineStr">
        <is>
          <t>Project Notos</t>
        </is>
      </c>
      <c r="B209" t="inlineStr">
        <is>
          <t>1.1.9.2.7</t>
        </is>
      </c>
      <c r="C209" s="15" t="inlineStr">
        <is>
          <t>Annex-7 Information clause</t>
        </is>
      </c>
      <c r="D209" s="20" t="inlineStr">
        <is>
          <t>Out-of-Scope</t>
        </is>
      </c>
      <c r="F209" s="151">
        <f>HYPERLINK("https://app.global.datasite.com/webviewer/?projectId=696652ec0dc07cc02daa26a0&amp;documentId=69cf7c44d4ee2114935e0c38","Annex-7 Information clause")</f>
        <v/>
      </c>
      <c r="G209" t="inlineStr">
        <is>
          <t>DOCUMENT</t>
        </is>
      </c>
      <c r="H209" t="inlineStr">
        <is>
          <t>pdf</t>
        </is>
      </c>
      <c r="I209" t="inlineStr">
        <is>
          <t>DOWNLOAD</t>
        </is>
      </c>
      <c r="J209" t="n">
        <v>0.03543186</v>
      </c>
      <c r="K209" t="inlineStr">
        <is>
          <t>Unread</t>
        </is>
      </c>
      <c r="L209" s="153" t="n">
        <v>46176.92764111111</v>
      </c>
      <c r="M209" t="inlineStr">
        <is>
          <t>69cf7c44d4ee2114935e0c38</t>
        </is>
      </c>
    </row>
    <row r="210">
      <c r="A210" t="inlineStr">
        <is>
          <t>Project Notos</t>
        </is>
      </c>
      <c r="B210" t="inlineStr">
        <is>
          <t>1.1.9.2.8</t>
        </is>
      </c>
      <c r="C210" s="15" t="inlineStr">
        <is>
          <t>Annex-8 - Procedure for reporting personal data breaches</t>
        </is>
      </c>
      <c r="D210" s="20" t="inlineStr">
        <is>
          <t>Out-of-Scope</t>
        </is>
      </c>
      <c r="F210" s="151">
        <f>HYPERLINK("https://app.global.datasite.com/webviewer/?projectId=696652ec0dc07cc02daa26a0&amp;documentId=69cf7c44d4ee2114935e0c39","Annex-8 - Procedure for reporting personal data breaches")</f>
        <v/>
      </c>
      <c r="G210" t="inlineStr">
        <is>
          <t>DOCUMENT</t>
        </is>
      </c>
      <c r="H210" t="inlineStr">
        <is>
          <t>pdf</t>
        </is>
      </c>
      <c r="I210" t="inlineStr">
        <is>
          <t>DOWNLOAD</t>
        </is>
      </c>
      <c r="J210" t="n">
        <v>0.16970062</v>
      </c>
      <c r="K210" t="inlineStr">
        <is>
          <t>Unread</t>
        </is>
      </c>
      <c r="L210" s="153" t="n">
        <v>46176.92764111111</v>
      </c>
      <c r="M210" t="inlineStr">
        <is>
          <t>69cf7c44d4ee2114935e0c39</t>
        </is>
      </c>
    </row>
    <row r="211">
      <c r="A211" s="154" t="inlineStr">
        <is>
          <t>Project Notos</t>
        </is>
      </c>
      <c r="B211" s="154" t="inlineStr">
        <is>
          <t>1.1.9.3</t>
        </is>
      </c>
      <c r="C211" s="155" t="inlineStr">
        <is>
          <t>IG_Data breach on February 28_20260420</t>
        </is>
      </c>
      <c r="D211" s="156" t="n"/>
      <c r="E211" s="156" t="n"/>
      <c r="F211" s="157">
        <f>HYPERLINK("https://app.global.datasite.com/webviewer/?projectId=696652ec0dc07cc02daa26a0&amp;documentId=69e887f4f40a3edda10718f8","IG_Data breach on February 28_20260420")</f>
        <v/>
      </c>
      <c r="G211" s="154" t="inlineStr">
        <is>
          <t>DOCUMENT</t>
        </is>
      </c>
      <c r="H211" s="154" t="inlineStr">
        <is>
          <t>pdf</t>
        </is>
      </c>
      <c r="I211" s="154" t="inlineStr">
        <is>
          <t>DOWNLOAD</t>
        </is>
      </c>
      <c r="J211" s="154" t="n">
        <v>0.16021633</v>
      </c>
      <c r="K211" s="154" t="inlineStr">
        <is>
          <t>Unread</t>
        </is>
      </c>
      <c r="L211" s="158" t="n">
        <v>46199.70333689815</v>
      </c>
      <c r="M211" s="154" t="inlineStr">
        <is>
          <t>69e887f4f40a3edda10718f8</t>
        </is>
      </c>
    </row>
    <row r="212">
      <c r="A212" s="149" t="inlineStr">
        <is>
          <t>Project Notos</t>
        </is>
      </c>
      <c r="B212" s="149" t="inlineStr">
        <is>
          <t>1.1.10</t>
        </is>
      </c>
      <c r="C212" s="17" t="inlineStr">
        <is>
          <t>Permits</t>
        </is>
      </c>
      <c r="D212" s="25" t="n"/>
      <c r="F212" s="150">
        <f>HYPERLINK("https://app.global.datasite.com/platform/container/696652ec0dc07cc02daa26a0/documents/content/index/69dfca4b94545245b0a8b871","Permits")</f>
        <v/>
      </c>
      <c r="G212" s="149" t="inlineStr">
        <is>
          <t>FOLDER</t>
        </is>
      </c>
      <c r="H212" s="149" t="n"/>
      <c r="I212" s="149" t="inlineStr">
        <is>
          <t>DOWNLOAD</t>
        </is>
      </c>
      <c r="J212" s="149" t="n"/>
      <c r="K212" s="149" t="inlineStr">
        <is>
          <t>Unread</t>
        </is>
      </c>
      <c r="L212" s="152" t="n">
        <v>46176.92764111111</v>
      </c>
      <c r="M212" s="149" t="inlineStr">
        <is>
          <t>69dfca4b94545245b0a8b871</t>
        </is>
      </c>
    </row>
    <row r="213">
      <c r="A213" t="inlineStr">
        <is>
          <t>Project Notos</t>
        </is>
      </c>
      <c r="B213" t="inlineStr">
        <is>
          <t>1.1.10.1</t>
        </is>
      </c>
      <c r="C213" s="15" t="inlineStr">
        <is>
          <t>ITT_Letter Ministry of Economy to SISA_160504</t>
        </is>
      </c>
      <c r="D213" s="20" t="inlineStr">
        <is>
          <t>Out-of-Scope</t>
        </is>
      </c>
      <c r="F213" s="151">
        <f>HYPERLINK("https://app.global.datasite.com/webviewer/?projectId=696652ec0dc07cc02daa26a0&amp;documentId=69dfca57aad32439d8b43767","ITT_Letter Ministry of Economy to SISA_160504")</f>
        <v/>
      </c>
      <c r="G213" t="inlineStr">
        <is>
          <t>DOCUMENT</t>
        </is>
      </c>
      <c r="H213" t="inlineStr">
        <is>
          <t>pdf</t>
        </is>
      </c>
      <c r="I213" t="inlineStr">
        <is>
          <t>DOWNLOAD</t>
        </is>
      </c>
      <c r="J213" t="n">
        <v>0.23451614</v>
      </c>
      <c r="K213" t="inlineStr">
        <is>
          <t>Unread</t>
        </is>
      </c>
      <c r="L213" s="153" t="n">
        <v>46176.92764111111</v>
      </c>
      <c r="M213" t="inlineStr">
        <is>
          <t>69dfca57aad32439d8b43767</t>
        </is>
      </c>
    </row>
    <row r="214">
      <c r="A214" t="inlineStr">
        <is>
          <t>Project Notos</t>
        </is>
      </c>
      <c r="B214" t="inlineStr">
        <is>
          <t>1.1.10.2</t>
        </is>
      </c>
      <c r="C214" s="15" t="inlineStr">
        <is>
          <t>ITT_N-#-1-16-0653_COMMODO_P17-010_Annexe3_G00_PERMIT_AEV_P15-036_1_16_0653_171206</t>
        </is>
      </c>
      <c r="D214" s="20" t="inlineStr">
        <is>
          <t>Out-of-Scope</t>
        </is>
      </c>
      <c r="F214" s="151">
        <f>HYPERLINK("https://app.global.datasite.com/webviewer/?projectId=696652ec0dc07cc02daa26a0&amp;documentId=69dfcd5bc845873926ced7f0","ITT_N-#-1-16-0653_COMMODO_P17-010_Annexe3_G00_PERMIT_AEV_P15-036_1_16_0653_171206")</f>
        <v/>
      </c>
      <c r="G214" t="inlineStr">
        <is>
          <t>DOCUMENT</t>
        </is>
      </c>
      <c r="H214" t="inlineStr">
        <is>
          <t>pdf</t>
        </is>
      </c>
      <c r="I214" t="inlineStr">
        <is>
          <t>DOWNLOAD</t>
        </is>
      </c>
      <c r="J214" t="n">
        <v>1.06907081</v>
      </c>
      <c r="K214" t="inlineStr">
        <is>
          <t>Unread</t>
        </is>
      </c>
      <c r="L214" s="153" t="n">
        <v>46176.92764111111</v>
      </c>
      <c r="M214" t="inlineStr">
        <is>
          <t>69dfcd5bc845873926ced7f0</t>
        </is>
      </c>
    </row>
    <row r="215">
      <c r="A215" t="inlineStr">
        <is>
          <t>Project Notos</t>
        </is>
      </c>
      <c r="B215" t="inlineStr">
        <is>
          <t>1.1.10.3</t>
        </is>
      </c>
      <c r="C215" s="15" t="inlineStr">
        <is>
          <t>ITT_LET_COMPLET_ITM_P17-010_1_2018_0355_161_labos_in_hall_03_190403</t>
        </is>
      </c>
      <c r="D215" s="20" t="inlineStr">
        <is>
          <t>Out-of-Scope</t>
        </is>
      </c>
      <c r="F215" s="151">
        <f>HYPERLINK("https://app.global.datasite.com/webviewer/?projectId=696652ec0dc07cc02daa26a0&amp;documentId=69dfcb4317718e6e798011cb","ITT_LET_COMPLET_ITM_P17-010_1_2018_0355_161_labos_in_hall_03_190403")</f>
        <v/>
      </c>
      <c r="G215" t="inlineStr">
        <is>
          <t>DOCUMENT</t>
        </is>
      </c>
      <c r="H215" t="inlineStr">
        <is>
          <t>pdf</t>
        </is>
      </c>
      <c r="I215" t="inlineStr">
        <is>
          <t>DOWNLOAD</t>
        </is>
      </c>
      <c r="J215" t="n">
        <v>0.12204742</v>
      </c>
      <c r="K215" t="inlineStr">
        <is>
          <t>Unread</t>
        </is>
      </c>
      <c r="L215" s="153" t="n">
        <v>46176.92764111111</v>
      </c>
      <c r="M215" t="inlineStr">
        <is>
          <t>69dfcb4317718e6e798011cb</t>
        </is>
      </c>
    </row>
    <row r="216">
      <c r="A216" t="inlineStr">
        <is>
          <t>Project Notos</t>
        </is>
      </c>
      <c r="B216" t="inlineStr">
        <is>
          <t>1.1.10.4</t>
        </is>
      </c>
      <c r="C216" s="15" t="inlineStr">
        <is>
          <t>ITT_Permit_Research Lab_190820</t>
        </is>
      </c>
      <c r="D216" s="20" t="inlineStr">
        <is>
          <t>Out-of-Scope</t>
        </is>
      </c>
      <c r="F216" s="151">
        <f>HYPERLINK("https://app.global.datasite.com/webviewer/?projectId=696652ec0dc07cc02daa26a0&amp;documentId=69dfcd5bc845873926ced7f1","ITT_Permit_Research Lab_190820")</f>
        <v/>
      </c>
      <c r="G216" t="inlineStr">
        <is>
          <t>DOCUMENT</t>
        </is>
      </c>
      <c r="H216" t="inlineStr">
        <is>
          <t>pdf</t>
        </is>
      </c>
      <c r="I216" t="inlineStr">
        <is>
          <t>DOWNLOAD</t>
        </is>
      </c>
      <c r="J216" t="n">
        <v>1.14556026</v>
      </c>
      <c r="K216" t="inlineStr">
        <is>
          <t>Unread</t>
        </is>
      </c>
      <c r="L216" s="153" t="n">
        <v>46176.92764111111</v>
      </c>
      <c r="M216" t="inlineStr">
        <is>
          <t>69dfcd5bc845873926ced7f1</t>
        </is>
      </c>
    </row>
    <row r="217">
      <c r="A217" t="inlineStr">
        <is>
          <t>Project Notos</t>
        </is>
      </c>
      <c r="B217" t="inlineStr">
        <is>
          <t>1.1.10.5</t>
        </is>
      </c>
      <c r="C217" s="15" t="inlineStr">
        <is>
          <t>ITT_N-1-2008-0355-161-Auth-Minstre-du-Travail_191115</t>
        </is>
      </c>
      <c r="D217" s="20" t="inlineStr">
        <is>
          <t>Out-of-Scope</t>
        </is>
      </c>
      <c r="F217" s="151">
        <f>HYPERLINK("https://app.global.datasite.com/webviewer/?projectId=696652ec0dc07cc02daa26a0&amp;documentId=69dfcd5bc845873926ced7f2","ITT_N-1-2008-0355-161-Auth-Minstre-du-Travail_191115")</f>
        <v/>
      </c>
      <c r="G217" t="inlineStr">
        <is>
          <t>DOCUMENT</t>
        </is>
      </c>
      <c r="H217" t="inlineStr">
        <is>
          <t>pdf</t>
        </is>
      </c>
      <c r="I217" t="inlineStr">
        <is>
          <t>DOWNLOAD</t>
        </is>
      </c>
      <c r="J217" t="n">
        <v>0.62782573</v>
      </c>
      <c r="K217" t="inlineStr">
        <is>
          <t>Unread</t>
        </is>
      </c>
      <c r="L217" s="153" t="n">
        <v>46176.92764111111</v>
      </c>
      <c r="M217" t="inlineStr">
        <is>
          <t>69dfcd5bc845873926ced7f2</t>
        </is>
      </c>
    </row>
    <row r="218">
      <c r="A218" t="inlineStr">
        <is>
          <t>Project Notos</t>
        </is>
      </c>
      <c r="B218" t="inlineStr">
        <is>
          <t>1.1.10.6</t>
        </is>
      </c>
      <c r="C218" s="15" t="inlineStr">
        <is>
          <t>ITT_Authorisation_forklift_230123</t>
        </is>
      </c>
      <c r="D218" s="20" t="inlineStr">
        <is>
          <t>Out-of-Scope</t>
        </is>
      </c>
      <c r="F218" s="151">
        <f>HYPERLINK("https://app.global.datasite.com/webviewer/?projectId=696652ec0dc07cc02daa26a0&amp;documentId=69dfcc7994545245b0a8b8a8","ITT_Authorisation_forklift_230123")</f>
        <v/>
      </c>
      <c r="G218" t="inlineStr">
        <is>
          <t>DOCUMENT</t>
        </is>
      </c>
      <c r="H218" t="inlineStr">
        <is>
          <t>pdf</t>
        </is>
      </c>
      <c r="I218" t="inlineStr">
        <is>
          <t>DOWNLOAD</t>
        </is>
      </c>
      <c r="J218" t="n">
        <v>0.43450355</v>
      </c>
      <c r="K218" t="inlineStr">
        <is>
          <t>Unread</t>
        </is>
      </c>
      <c r="L218" s="153" t="n">
        <v>46176.92764111111</v>
      </c>
      <c r="M218" t="inlineStr">
        <is>
          <t>69dfcc7994545245b0a8b8a8</t>
        </is>
      </c>
    </row>
    <row r="219">
      <c r="A219" t="inlineStr">
        <is>
          <t>Project Notos</t>
        </is>
      </c>
      <c r="B219" t="inlineStr">
        <is>
          <t>1.1.10.7</t>
        </is>
      </c>
      <c r="C219" s="15" t="inlineStr">
        <is>
          <t>ITT_Authorisation_forklift_230306</t>
        </is>
      </c>
      <c r="D219" s="20" t="inlineStr">
        <is>
          <t>Out-of-Scope</t>
        </is>
      </c>
      <c r="F219" s="151">
        <f>HYPERLINK("https://app.global.datasite.com/webviewer/?projectId=696652ec0dc07cc02daa26a0&amp;documentId=69dfcd5bc845873926ced7ef","ITT_Authorisation_forklift_230306")</f>
        <v/>
      </c>
      <c r="G219" t="inlineStr">
        <is>
          <t>DOCUMENT</t>
        </is>
      </c>
      <c r="H219" t="inlineStr">
        <is>
          <t>pdf</t>
        </is>
      </c>
      <c r="I219" t="inlineStr">
        <is>
          <t>DOWNLOAD</t>
        </is>
      </c>
      <c r="J219" t="n">
        <v>0.08914089</v>
      </c>
      <c r="K219" t="inlineStr">
        <is>
          <t>Unread</t>
        </is>
      </c>
      <c r="L219" s="153" t="n">
        <v>46176.92764111111</v>
      </c>
      <c r="M219" t="inlineStr">
        <is>
          <t>69dfcd5bc845873926ced7ef</t>
        </is>
      </c>
    </row>
    <row r="220">
      <c r="A220" t="inlineStr">
        <is>
          <t>Project Notos</t>
        </is>
      </c>
      <c r="B220" t="inlineStr">
        <is>
          <t>1.1.10.8</t>
        </is>
      </c>
      <c r="C220" s="15" t="inlineStr">
        <is>
          <t>ITT_Autorisation_fluorinated greenhouse gases_250514</t>
        </is>
      </c>
      <c r="D220" s="20" t="inlineStr">
        <is>
          <t>Out-of-Scope</t>
        </is>
      </c>
      <c r="F220" s="151">
        <f>HYPERLINK("https://app.global.datasite.com/webviewer/?projectId=696652ec0dc07cc02daa26a0&amp;documentId=69dfcd5bc845873926ced7ee","ITT_Autorisation_fluorinated greenhouse gases_250514")</f>
        <v/>
      </c>
      <c r="G220" t="inlineStr">
        <is>
          <t>DOCUMENT</t>
        </is>
      </c>
      <c r="H220" t="inlineStr">
        <is>
          <t>pdf</t>
        </is>
      </c>
      <c r="I220" t="inlineStr">
        <is>
          <t>DOWNLOAD</t>
        </is>
      </c>
      <c r="J220" t="n">
        <v>7.94200515</v>
      </c>
      <c r="K220" t="inlineStr">
        <is>
          <t>Unread</t>
        </is>
      </c>
      <c r="L220" s="153" t="n">
        <v>46176.92764111111</v>
      </c>
      <c r="M220" t="inlineStr">
        <is>
          <t>69dfcd5bc845873926ced7ee</t>
        </is>
      </c>
    </row>
    <row r="221">
      <c r="A221" t="inlineStr">
        <is>
          <t>Project Notos</t>
        </is>
      </c>
      <c r="B221" t="inlineStr">
        <is>
          <t>1.1.10.9</t>
        </is>
      </c>
      <c r="C221" t="inlineStr">
        <is>
          <t>ITT_SARL_autorisation établissement_02.06.2026</t>
        </is>
      </c>
      <c r="D221" s="20" t="inlineStr">
        <is>
          <t>Out-of-Scope</t>
        </is>
      </c>
      <c r="F221" s="151" t="n">
        <v>0</v>
      </c>
      <c r="G221" t="inlineStr">
        <is>
          <t>DOCUMENT</t>
        </is>
      </c>
      <c r="H221" t="inlineStr">
        <is>
          <t>pdf</t>
        </is>
      </c>
      <c r="I221" t="inlineStr">
        <is>
          <t>DOWNLOAD</t>
        </is>
      </c>
      <c r="J221" t="n">
        <v>0.47080326</v>
      </c>
      <c r="K221" t="inlineStr">
        <is>
          <t>Unread</t>
        </is>
      </c>
      <c r="L221" s="153" t="n">
        <v>46181.87384541667</v>
      </c>
      <c r="M221" t="inlineStr">
        <is>
          <t>6a26d215ebbb9579a9f61cd8</t>
        </is>
      </c>
    </row>
    <row r="222">
      <c r="A222" s="154" t="inlineStr">
        <is>
          <t>Project Notos</t>
        </is>
      </c>
      <c r="B222" s="154" t="inlineStr">
        <is>
          <t>1.1.11</t>
        </is>
      </c>
      <c r="C222" s="155" t="inlineStr">
        <is>
          <t>Supplier</t>
        </is>
      </c>
      <c r="D222" s="156" t="n"/>
      <c r="E222" s="156" t="n"/>
      <c r="F222" s="157">
        <f>HYPERLINK("https://app.global.datasite.com/platform/container/696652ec0dc07cc02daa26a0/documents/content/index/6a3e9588f65c24cc48646c3e","Supplier")</f>
        <v/>
      </c>
      <c r="G222" s="154" t="inlineStr">
        <is>
          <t>FOLDER</t>
        </is>
      </c>
      <c r="H222" s="154" t="n"/>
      <c r="I222" s="154" t="inlineStr">
        <is>
          <t>DOWNLOAD</t>
        </is>
      </c>
      <c r="J222" s="154" t="n"/>
      <c r="K222" s="154" t="inlineStr">
        <is>
          <t>Unread</t>
        </is>
      </c>
      <c r="L222" s="158" t="n">
        <v>46199.71362685185</v>
      </c>
      <c r="M222" s="154" t="inlineStr">
        <is>
          <t>6a3e9588f65c24cc48646c3e</t>
        </is>
      </c>
    </row>
    <row r="223">
      <c r="A223" s="154" t="inlineStr">
        <is>
          <t>Project Notos</t>
        </is>
      </c>
      <c r="B223" s="154" t="inlineStr">
        <is>
          <t>1.1.11.1</t>
        </is>
      </c>
      <c r="C223" s="155" t="inlineStr">
        <is>
          <t>Car lease</t>
        </is>
      </c>
      <c r="D223" s="156" t="n"/>
      <c r="E223" s="156" t="n"/>
      <c r="F223" s="157">
        <f>HYPERLINK("https://app.global.datasite.com/platform/container/696652ec0dc07cc02daa26a0/documents/content/index/69cbeac88014561b861a1170","Car lease")</f>
        <v/>
      </c>
      <c r="G223" s="154" t="inlineStr">
        <is>
          <t>FOLDER</t>
        </is>
      </c>
      <c r="H223" s="154" t="n"/>
      <c r="I223" s="154" t="inlineStr">
        <is>
          <t>DOWNLOAD</t>
        </is>
      </c>
      <c r="J223" s="154" t="n"/>
      <c r="K223" s="154" t="inlineStr">
        <is>
          <t>Unread</t>
        </is>
      </c>
      <c r="L223" s="158" t="n">
        <v>46195.66359459491</v>
      </c>
      <c r="M223" s="154" t="inlineStr">
        <is>
          <t>69cbeac88014561b861a1170</t>
        </is>
      </c>
    </row>
    <row r="224">
      <c r="A224" s="154" t="inlineStr">
        <is>
          <t>Project Notos</t>
        </is>
      </c>
      <c r="B224" s="154" t="inlineStr">
        <is>
          <t>1.1.11.1.1</t>
        </is>
      </c>
      <c r="C224" s="155" t="inlineStr">
        <is>
          <t>ITT_car lease KBC_220811</t>
        </is>
      </c>
      <c r="D224" s="156" t="n"/>
      <c r="E224" s="156" t="n"/>
      <c r="F224" s="157">
        <f>HYPERLINK("https://app.global.datasite.com/webviewer/?projectId=696652ec0dc07cc02daa26a0&amp;documentId=69bd3e93cf69cc9c7d0e4508","ITT_car lease KBC_220811")</f>
        <v/>
      </c>
      <c r="G224" s="154" t="inlineStr">
        <is>
          <t>DOCUMENT</t>
        </is>
      </c>
      <c r="H224" s="154" t="inlineStr">
        <is>
          <t>pdf</t>
        </is>
      </c>
      <c r="I224" s="154" t="inlineStr">
        <is>
          <t>DOWNLOAD</t>
        </is>
      </c>
      <c r="J224" s="154" t="n">
        <v>0.08369445</v>
      </c>
      <c r="K224" s="154" t="inlineStr">
        <is>
          <t>Unread</t>
        </is>
      </c>
      <c r="L224" s="158" t="n">
        <v>46195.66359459491</v>
      </c>
      <c r="M224" s="154" t="inlineStr">
        <is>
          <t>69bd3e93cf69cc9c7d0e4508</t>
        </is>
      </c>
    </row>
    <row r="225">
      <c r="A225" s="154" t="inlineStr">
        <is>
          <t>Project Notos</t>
        </is>
      </c>
      <c r="B225" s="154" t="inlineStr">
        <is>
          <t>1.1.11.1.2</t>
        </is>
      </c>
      <c r="C225" s="155" t="inlineStr">
        <is>
          <t>ITT_car lease Arval_05062025</t>
        </is>
      </c>
      <c r="D225" s="156" t="n"/>
      <c r="E225" s="156" t="n"/>
      <c r="F225" s="157">
        <f>HYPERLINK("https://app.global.datasite.com/webviewer/?projectId=696652ec0dc07cc02daa26a0&amp;documentId=69cbeb51f1bc84f53ceb5b80","ITT_car lease Arval_05062025")</f>
        <v/>
      </c>
      <c r="G225" s="154" t="inlineStr">
        <is>
          <t>DOCUMENT</t>
        </is>
      </c>
      <c r="H225" s="154" t="inlineStr">
        <is>
          <t>pdf</t>
        </is>
      </c>
      <c r="I225" s="154" t="inlineStr">
        <is>
          <t>DOWNLOAD</t>
        </is>
      </c>
      <c r="J225" s="154" t="n">
        <v>6.59889602</v>
      </c>
      <c r="K225" s="154" t="inlineStr">
        <is>
          <t>Unread</t>
        </is>
      </c>
      <c r="L225" s="158" t="n">
        <v>46195.66359459491</v>
      </c>
      <c r="M225" s="154" t="inlineStr">
        <is>
          <t>69cbeb51f1bc84f53ceb5b80</t>
        </is>
      </c>
    </row>
    <row r="226">
      <c r="A226" s="154" t="inlineStr">
        <is>
          <t>Project Notos</t>
        </is>
      </c>
      <c r="B226" s="154" t="inlineStr">
        <is>
          <t>1.1.11.1.3</t>
        </is>
      </c>
      <c r="C226" s="155" t="inlineStr">
        <is>
          <t>ITT_car lease RED RENT</t>
        </is>
      </c>
      <c r="D226" s="156" t="n"/>
      <c r="E226" s="156" t="n"/>
      <c r="F226" s="157">
        <f>HYPERLINK("https://app.global.datasite.com/webviewer/?projectId=696652ec0dc07cc02daa26a0&amp;documentId=69cbebe8adc66d4b479bc562","ITT_car lease RED RENT")</f>
        <v/>
      </c>
      <c r="G226" s="154" t="inlineStr">
        <is>
          <t>DOCUMENT</t>
        </is>
      </c>
      <c r="H226" s="154" t="inlineStr">
        <is>
          <t>pdf</t>
        </is>
      </c>
      <c r="I226" s="154" t="inlineStr">
        <is>
          <t>DOWNLOAD</t>
        </is>
      </c>
      <c r="J226" s="154" t="n">
        <v>0.49651241</v>
      </c>
      <c r="K226" s="154" t="inlineStr">
        <is>
          <t>Unread</t>
        </is>
      </c>
      <c r="L226" s="158" t="n">
        <v>46195.66359459491</v>
      </c>
      <c r="M226" s="154" t="inlineStr">
        <is>
          <t>69cbebe8adc66d4b479bc562</t>
        </is>
      </c>
    </row>
    <row r="227">
      <c r="A227" s="154" t="inlineStr">
        <is>
          <t>Project Notos</t>
        </is>
      </c>
      <c r="B227" s="154" t="inlineStr">
        <is>
          <t>1.1.11.2</t>
        </is>
      </c>
      <c r="C227" s="155" t="inlineStr">
        <is>
          <t>Waste management</t>
        </is>
      </c>
      <c r="D227" s="156" t="n"/>
      <c r="E227" s="156" t="n"/>
      <c r="F227" s="157">
        <f>HYPERLINK("https://app.global.datasite.com/platform/container/696652ec0dc07cc02daa26a0/documents/content/index/69e21419746bfba5f03d595f","Waste management")</f>
        <v/>
      </c>
      <c r="G227" s="154" t="inlineStr">
        <is>
          <t>FOLDER</t>
        </is>
      </c>
      <c r="H227" s="154" t="n"/>
      <c r="I227" s="154" t="inlineStr">
        <is>
          <t>DOWNLOAD</t>
        </is>
      </c>
      <c r="J227" s="154" t="n"/>
      <c r="K227" s="154" t="inlineStr">
        <is>
          <t>Unread</t>
        </is>
      </c>
      <c r="L227" s="158" t="n">
        <v>46195.66359459491</v>
      </c>
      <c r="M227" s="154" t="inlineStr">
        <is>
          <t>69e21419746bfba5f03d595f</t>
        </is>
      </c>
    </row>
    <row r="228">
      <c r="A228" s="154" t="inlineStr">
        <is>
          <t>Project Notos</t>
        </is>
      </c>
      <c r="B228" s="154" t="inlineStr">
        <is>
          <t>1.1.11.2.1</t>
        </is>
      </c>
      <c r="C228" s="155" t="inlineStr">
        <is>
          <t>ITT_agreement with ALBA Ekoplus_20210223</t>
        </is>
      </c>
      <c r="D228" s="156" t="n"/>
      <c r="E228" s="156" t="n"/>
      <c r="F228" s="157">
        <f>HYPERLINK("https://app.global.datasite.com/webviewer/?projectId=696652ec0dc07cc02daa26a0&amp;documentId=69bd41edb03e7d31c6a492a3","ITT_agreement with ALBA Ekoplus_20210223")</f>
        <v/>
      </c>
      <c r="G228" s="154" t="inlineStr">
        <is>
          <t>DOCUMENT</t>
        </is>
      </c>
      <c r="H228" s="154" t="inlineStr">
        <is>
          <t>pdf</t>
        </is>
      </c>
      <c r="I228" s="154" t="inlineStr">
        <is>
          <t>DOWNLOAD</t>
        </is>
      </c>
      <c r="J228" s="154" t="n">
        <v>0.66993999</v>
      </c>
      <c r="K228" s="154" t="inlineStr">
        <is>
          <t>Unread</t>
        </is>
      </c>
      <c r="L228" s="158" t="n">
        <v>46195.66359459491</v>
      </c>
      <c r="M228" s="154" t="inlineStr">
        <is>
          <t>69bd41edb03e7d31c6a492a3</t>
        </is>
      </c>
    </row>
    <row r="229">
      <c r="A229" s="154" t="inlineStr">
        <is>
          <t>Project Notos</t>
        </is>
      </c>
      <c r="B229" s="154" t="inlineStr">
        <is>
          <t>1.1.11.3</t>
        </is>
      </c>
      <c r="C229" s="155" t="inlineStr">
        <is>
          <t>Water</t>
        </is>
      </c>
      <c r="D229" s="156" t="n"/>
      <c r="E229" s="156" t="n"/>
      <c r="F229" s="157">
        <f>HYPERLINK("https://app.global.datasite.com/platform/container/696652ec0dc07cc02daa26a0/documents/content/index/69e21482c2c22a635ff9799f","Water")</f>
        <v/>
      </c>
      <c r="G229" s="154" t="inlineStr">
        <is>
          <t>FOLDER</t>
        </is>
      </c>
      <c r="H229" s="154" t="n"/>
      <c r="I229" s="154" t="inlineStr">
        <is>
          <t>DOWNLOAD</t>
        </is>
      </c>
      <c r="J229" s="154" t="n"/>
      <c r="K229" s="154" t="inlineStr">
        <is>
          <t>Unread</t>
        </is>
      </c>
      <c r="L229" s="158" t="n">
        <v>46195.66359459491</v>
      </c>
      <c r="M229" s="154" t="inlineStr">
        <is>
          <t>69e21482c2c22a635ff9799f</t>
        </is>
      </c>
    </row>
    <row r="230">
      <c r="A230" s="154" t="inlineStr">
        <is>
          <t>Project Notos</t>
        </is>
      </c>
      <c r="B230" s="154" t="inlineStr">
        <is>
          <t>1.1.11.3.1</t>
        </is>
      </c>
      <c r="C230" s="155" t="inlineStr">
        <is>
          <t>ITT_agreement on water supply_20210914</t>
        </is>
      </c>
      <c r="D230" s="156" t="n"/>
      <c r="E230" s="156" t="n"/>
      <c r="F230" s="157">
        <f>HYPERLINK("https://app.global.datasite.com/webviewer/?projectId=696652ec0dc07cc02daa26a0&amp;documentId=69bd41edb03e7d31c6a492af","ITT_agreement on water supply_20210914")</f>
        <v/>
      </c>
      <c r="G230" s="154" t="inlineStr">
        <is>
          <t>DOCUMENT</t>
        </is>
      </c>
      <c r="H230" s="154" t="inlineStr">
        <is>
          <t>pdf</t>
        </is>
      </c>
      <c r="I230" s="154" t="inlineStr">
        <is>
          <t>DOWNLOAD</t>
        </is>
      </c>
      <c r="J230" s="154" t="n">
        <v>5.38409042</v>
      </c>
      <c r="K230" s="154" t="inlineStr">
        <is>
          <t>Unread</t>
        </is>
      </c>
      <c r="L230" s="158" t="n">
        <v>46195.66359459491</v>
      </c>
      <c r="M230" s="154" t="inlineStr">
        <is>
          <t>69bd41edb03e7d31c6a492af</t>
        </is>
      </c>
    </row>
    <row r="231">
      <c r="A231" s="154" t="inlineStr">
        <is>
          <t>Project Notos</t>
        </is>
      </c>
      <c r="B231" s="154" t="inlineStr">
        <is>
          <t>1.1.11.4</t>
        </is>
      </c>
      <c r="C231" s="155" t="inlineStr">
        <is>
          <t xml:space="preserve">SII_SAP Implementation </t>
        </is>
      </c>
      <c r="D231" s="156" t="n"/>
      <c r="E231" s="156" t="n"/>
      <c r="F231" s="157">
        <f>HYPERLINK("https://app.global.datasite.com/platform/container/696652ec0dc07cc02daa26a0/documents/content/index/69e216dbd45b6ad49acf47e0","SII_SAP Implementation ")</f>
        <v/>
      </c>
      <c r="G231" s="154" t="inlineStr">
        <is>
          <t>FOLDER</t>
        </is>
      </c>
      <c r="H231" s="154" t="n"/>
      <c r="I231" s="154" t="inlineStr">
        <is>
          <t>DOWNLOAD</t>
        </is>
      </c>
      <c r="J231" s="154" t="n"/>
      <c r="K231" s="154" t="inlineStr">
        <is>
          <t>Unread</t>
        </is>
      </c>
      <c r="L231" s="158" t="n">
        <v>46195.66359459491</v>
      </c>
      <c r="M231" s="154" t="inlineStr">
        <is>
          <t>69e216dbd45b6ad49acf47e0</t>
        </is>
      </c>
    </row>
    <row r="232">
      <c r="A232" s="154" t="inlineStr">
        <is>
          <t>Project Notos</t>
        </is>
      </c>
      <c r="B232" s="154" t="inlineStr">
        <is>
          <t>1.1.11.4.1</t>
        </is>
      </c>
      <c r="C232" s="155" t="inlineStr">
        <is>
          <t>ITT_IT implementation agreement with SII_20250502</t>
        </is>
      </c>
      <c r="D232" s="156" t="n"/>
      <c r="E232" s="156" t="n"/>
      <c r="F232" s="157">
        <f>HYPERLINK("https://app.global.datasite.com/webviewer/?projectId=696652ec0dc07cc02daa26a0&amp;documentId=69bd41edb03e7d31c6a492a8","ITT_IT implementation agreement with SII_20250502")</f>
        <v/>
      </c>
      <c r="G232" s="154" t="inlineStr">
        <is>
          <t>DOCUMENT</t>
        </is>
      </c>
      <c r="H232" s="154" t="inlineStr">
        <is>
          <t>pdf</t>
        </is>
      </c>
      <c r="I232" s="154" t="inlineStr">
        <is>
          <t>DOWNLOAD</t>
        </is>
      </c>
      <c r="J232" s="154" t="n">
        <v>1.09702682</v>
      </c>
      <c r="K232" s="154" t="inlineStr">
        <is>
          <t>Unread</t>
        </is>
      </c>
      <c r="L232" s="158" t="n">
        <v>46195.66359459491</v>
      </c>
      <c r="M232" s="154" t="inlineStr">
        <is>
          <t>69bd41edb03e7d31c6a492a8</t>
        </is>
      </c>
    </row>
    <row r="233">
      <c r="A233" s="154" t="inlineStr">
        <is>
          <t>Project Notos</t>
        </is>
      </c>
      <c r="B233" s="154" t="inlineStr">
        <is>
          <t>1.1.11.4.2</t>
        </is>
      </c>
      <c r="C233" s="155" t="inlineStr">
        <is>
          <t>ITT_IT implementation agreement with SII_20250315</t>
        </is>
      </c>
      <c r="D233" s="156" t="n"/>
      <c r="E233" s="156" t="n"/>
      <c r="F233" s="157">
        <f>HYPERLINK("https://app.global.datasite.com/webviewer/?projectId=696652ec0dc07cc02daa26a0&amp;documentId=69bd41edb03e7d31c6a492a9","ITT_IT implementation agreement with SII_20250315")</f>
        <v/>
      </c>
      <c r="G233" s="154" t="inlineStr">
        <is>
          <t>DOCUMENT</t>
        </is>
      </c>
      <c r="H233" s="154" t="inlineStr">
        <is>
          <t>pdf</t>
        </is>
      </c>
      <c r="I233" s="154" t="inlineStr">
        <is>
          <t>DOWNLOAD</t>
        </is>
      </c>
      <c r="J233" s="154" t="n">
        <v>7.98315143</v>
      </c>
      <c r="K233" s="154" t="inlineStr">
        <is>
          <t>Unread</t>
        </is>
      </c>
      <c r="L233" s="158" t="n">
        <v>46195.66359459491</v>
      </c>
      <c r="M233" s="154" t="inlineStr">
        <is>
          <t>69bd41edb03e7d31c6a492a9</t>
        </is>
      </c>
    </row>
    <row r="234">
      <c r="A234" s="154" t="inlineStr">
        <is>
          <t>Project Notos</t>
        </is>
      </c>
      <c r="B234" s="154" t="inlineStr">
        <is>
          <t>1.1.11.5</t>
        </is>
      </c>
      <c r="C234" s="155" t="inlineStr">
        <is>
          <t>IT services</t>
        </is>
      </c>
      <c r="D234" s="156" t="n"/>
      <c r="E234" s="156" t="n"/>
      <c r="F234" s="157">
        <f>HYPERLINK("https://app.global.datasite.com/platform/container/696652ec0dc07cc02daa26a0/documents/content/index/69e2170ac6d303b1b899eeb9","IT services")</f>
        <v/>
      </c>
      <c r="G234" s="154" t="inlineStr">
        <is>
          <t>FOLDER</t>
        </is>
      </c>
      <c r="H234" s="154" t="n"/>
      <c r="I234" s="154" t="inlineStr">
        <is>
          <t>DOWNLOAD</t>
        </is>
      </c>
      <c r="J234" s="154" t="n"/>
      <c r="K234" s="154" t="inlineStr">
        <is>
          <t>Unread</t>
        </is>
      </c>
      <c r="L234" s="158" t="n">
        <v>46195.66359459491</v>
      </c>
      <c r="M234" s="154" t="inlineStr">
        <is>
          <t>69e2170ac6d303b1b899eeb9</t>
        </is>
      </c>
    </row>
    <row r="235">
      <c r="A235" s="154" t="inlineStr">
        <is>
          <t>Project Notos</t>
        </is>
      </c>
      <c r="B235" s="154" t="inlineStr">
        <is>
          <t>1.1.11.5.1</t>
        </is>
      </c>
      <c r="C235" s="155" t="inlineStr">
        <is>
          <t>ITT_agreement on cloud services_20250228</t>
        </is>
      </c>
      <c r="D235" s="156" t="n"/>
      <c r="E235" s="156" t="n"/>
      <c r="F235" s="157">
        <f>HYPERLINK("https://app.global.datasite.com/webviewer/?projectId=696652ec0dc07cc02daa26a0&amp;documentId=69bd41edb03e7d31c6a492aa","ITT_agreement on cloud services_20250228")</f>
        <v/>
      </c>
      <c r="G235" s="154" t="inlineStr">
        <is>
          <t>DOCUMENT</t>
        </is>
      </c>
      <c r="H235" s="154" t="inlineStr">
        <is>
          <t>pdf</t>
        </is>
      </c>
      <c r="I235" s="154" t="inlineStr">
        <is>
          <t>DOWNLOAD</t>
        </is>
      </c>
      <c r="J235" s="154" t="n">
        <v>1.12481021</v>
      </c>
      <c r="K235" s="154" t="inlineStr">
        <is>
          <t>Unread</t>
        </is>
      </c>
      <c r="L235" s="158" t="n">
        <v>46195.66359459491</v>
      </c>
      <c r="M235" s="154" t="inlineStr">
        <is>
          <t>69bd41edb03e7d31c6a492aa</t>
        </is>
      </c>
    </row>
    <row r="236">
      <c r="A236" s="154" t="inlineStr">
        <is>
          <t>Project Notos</t>
        </is>
      </c>
      <c r="B236" s="154" t="inlineStr">
        <is>
          <t>1.1.11.5.2</t>
        </is>
      </c>
      <c r="C236" s="155" t="inlineStr">
        <is>
          <t>ITT_agreement with T-Mobile_20200129</t>
        </is>
      </c>
      <c r="D236" s="156" t="n"/>
      <c r="E236" s="156" t="n"/>
      <c r="F236" s="157">
        <f>HYPERLINK("https://app.global.datasite.com/webviewer/?projectId=696652ec0dc07cc02daa26a0&amp;documentId=69bd41edb03e7d31c6a492ab","ITT_agreement with T-Mobile_20200129")</f>
        <v/>
      </c>
      <c r="G236" s="154" t="inlineStr">
        <is>
          <t>DOCUMENT</t>
        </is>
      </c>
      <c r="H236" s="154" t="inlineStr">
        <is>
          <t>pdf</t>
        </is>
      </c>
      <c r="I236" s="154" t="inlineStr">
        <is>
          <t>DOWNLOAD</t>
        </is>
      </c>
      <c r="J236" s="154" t="n">
        <v>13.5624895</v>
      </c>
      <c r="K236" s="154" t="inlineStr">
        <is>
          <t>Unread</t>
        </is>
      </c>
      <c r="L236" s="158" t="n">
        <v>46195.66359459491</v>
      </c>
      <c r="M236" s="154" t="inlineStr">
        <is>
          <t>69bd41edb03e7d31c6a492ab</t>
        </is>
      </c>
    </row>
    <row r="237">
      <c r="A237" s="149" t="inlineStr">
        <is>
          <t>Project Notos</t>
        </is>
      </c>
      <c r="B237" s="149" t="inlineStr">
        <is>
          <t>1.2</t>
        </is>
      </c>
      <c r="C237" s="17" t="inlineStr">
        <is>
          <t>Innerio Heat Exchanger GmbH (IHE)</t>
        </is>
      </c>
      <c r="D237" s="25" t="n"/>
      <c r="F237" s="150">
        <f>HYPERLINK("https://app.global.datasite.com/platform/container/696652ec0dc07cc02daa26a0/documents/content/index/698a2b0dfb09fe05f0523fce","Innerio Heat Exchanger GmbH (IHE)")</f>
        <v/>
      </c>
      <c r="G237" s="149" t="inlineStr">
        <is>
          <t>FOLDER</t>
        </is>
      </c>
      <c r="H237" s="149" t="n"/>
      <c r="I237" s="149" t="inlineStr">
        <is>
          <t>DOWNLOAD</t>
        </is>
      </c>
      <c r="J237" s="149" t="n"/>
      <c r="K237" s="149" t="inlineStr">
        <is>
          <t>Unread</t>
        </is>
      </c>
      <c r="L237" s="152" t="n">
        <v>46176.92764111111</v>
      </c>
      <c r="M237" s="149" t="inlineStr">
        <is>
          <t>698a2b0dfb09fe05f0523fce</t>
        </is>
      </c>
    </row>
    <row r="238">
      <c r="A238" s="149" t="inlineStr">
        <is>
          <t>Project Notos</t>
        </is>
      </c>
      <c r="B238" s="149" t="inlineStr">
        <is>
          <t>1.2.1</t>
        </is>
      </c>
      <c r="C238" s="17" t="inlineStr">
        <is>
          <t>Corporate</t>
        </is>
      </c>
      <c r="D238" s="25" t="n"/>
      <c r="F238" s="150">
        <f>HYPERLINK("https://app.global.datasite.com/platform/container/696652ec0dc07cc02daa26a0/documents/content/index/69bd4e1ad52e3d657312cad2","Corporate")</f>
        <v/>
      </c>
      <c r="G238" s="149" t="inlineStr">
        <is>
          <t>FOLDER</t>
        </is>
      </c>
      <c r="H238" s="149" t="n"/>
      <c r="I238" s="149" t="inlineStr">
        <is>
          <t>DOWNLOAD</t>
        </is>
      </c>
      <c r="J238" s="149" t="n"/>
      <c r="K238" s="149" t="inlineStr">
        <is>
          <t>Unread</t>
        </is>
      </c>
      <c r="L238" s="152" t="n">
        <v>46176.92764111111</v>
      </c>
      <c r="M238" s="149" t="inlineStr">
        <is>
          <t>69bd4e1ad52e3d657312cad2</t>
        </is>
      </c>
    </row>
    <row r="239">
      <c r="A239" s="149" t="inlineStr">
        <is>
          <t>Project Notos</t>
        </is>
      </c>
      <c r="B239" s="149" t="inlineStr">
        <is>
          <t>1.2.1.1</t>
        </is>
      </c>
      <c r="C239" s="17" t="inlineStr">
        <is>
          <t>Company register</t>
        </is>
      </c>
      <c r="D239" s="25" t="n"/>
      <c r="F239" s="150">
        <f>HYPERLINK("https://app.global.datasite.com/platform/container/696652ec0dc07cc02daa26a0/documents/content/index/698cb83b15e348f1a2434a97","Company register")</f>
        <v/>
      </c>
      <c r="G239" s="149" t="inlineStr">
        <is>
          <t>FOLDER</t>
        </is>
      </c>
      <c r="H239" s="149" t="n"/>
      <c r="I239" s="149" t="inlineStr">
        <is>
          <t>DOWNLOAD</t>
        </is>
      </c>
      <c r="J239" s="149" t="n"/>
      <c r="K239" s="149" t="inlineStr">
        <is>
          <t>Unread</t>
        </is>
      </c>
      <c r="L239" s="152" t="n">
        <v>46176.92764111111</v>
      </c>
      <c r="M239" s="149" t="inlineStr">
        <is>
          <t>698cb83b15e348f1a2434a97</t>
        </is>
      </c>
    </row>
    <row r="240">
      <c r="A240" t="inlineStr">
        <is>
          <t>Project Notos</t>
        </is>
      </c>
      <c r="B240" t="inlineStr">
        <is>
          <t>1.2.1.1.1</t>
        </is>
      </c>
      <c r="C240" s="15" t="inlineStr">
        <is>
          <t>IHE_Commercial Register Excerpt_20260219</t>
        </is>
      </c>
      <c r="D240" s="29" t="inlineStr">
        <is>
          <t>SHO / RZA / MHL</t>
        </is>
      </c>
      <c r="F240" s="151">
        <f>HYPERLINK("https://app.global.datasite.com/webviewer/?projectId=696652ec0dc07cc02daa26a0&amp;documentId=69a6dd319f670c66bd869c5a","IHE_Commercial Register Excerpt_20260219")</f>
        <v/>
      </c>
      <c r="G240" t="inlineStr">
        <is>
          <t>DOCUMENT</t>
        </is>
      </c>
      <c r="H240" t="inlineStr">
        <is>
          <t>pdf</t>
        </is>
      </c>
      <c r="I240" t="inlineStr">
        <is>
          <t>DOWNLOAD</t>
        </is>
      </c>
      <c r="J240" t="n">
        <v>0.06484317000000001</v>
      </c>
      <c r="K240" t="inlineStr">
        <is>
          <t>Unread</t>
        </is>
      </c>
      <c r="L240" s="153" t="n">
        <v>46176.92764111111</v>
      </c>
      <c r="M240" t="inlineStr">
        <is>
          <t>69a6dd319f670c66bd869c5a</t>
        </is>
      </c>
    </row>
    <row r="241">
      <c r="A241" s="149" t="inlineStr">
        <is>
          <t>Project Notos</t>
        </is>
      </c>
      <c r="B241" s="149" t="inlineStr">
        <is>
          <t>1.2.1.2</t>
        </is>
      </c>
      <c r="C241" s="17" t="inlineStr">
        <is>
          <t>Articles of association</t>
        </is>
      </c>
      <c r="D241" s="25" t="n"/>
      <c r="F241" s="150">
        <f>HYPERLINK("https://app.global.datasite.com/platform/container/696652ec0dc07cc02daa26a0/documents/content/index/698cb83b15e348f1a2434a98","Articles of association")</f>
        <v/>
      </c>
      <c r="G241" s="149" t="inlineStr">
        <is>
          <t>FOLDER</t>
        </is>
      </c>
      <c r="H241" s="149" t="n"/>
      <c r="I241" s="149" t="inlineStr">
        <is>
          <t>DOWNLOAD</t>
        </is>
      </c>
      <c r="J241" s="149" t="n"/>
      <c r="K241" s="149" t="inlineStr">
        <is>
          <t>Unread</t>
        </is>
      </c>
      <c r="L241" s="152" t="n">
        <v>46176.92764111111</v>
      </c>
      <c r="M241" s="149" t="inlineStr">
        <is>
          <t>698cb83b15e348f1a2434a98</t>
        </is>
      </c>
    </row>
    <row r="242">
      <c r="A242" t="inlineStr">
        <is>
          <t>Project Notos</t>
        </is>
      </c>
      <c r="B242" t="inlineStr">
        <is>
          <t>1.2.1.2.1</t>
        </is>
      </c>
      <c r="C242" s="15" t="inlineStr">
        <is>
          <t>IHE_Articles of Association_20211211</t>
        </is>
      </c>
      <c r="D242" s="29" t="inlineStr">
        <is>
          <t>SHO / RZA / MHL</t>
        </is>
      </c>
      <c r="F242" s="151">
        <f>HYPERLINK("https://app.global.datasite.com/webviewer/?projectId=696652ec0dc07cc02daa26a0&amp;documentId=698cd99220d1aa48fdb093ef","IHE_Articles of Association_20211211")</f>
        <v/>
      </c>
      <c r="G242" t="inlineStr">
        <is>
          <t>DOCUMENT</t>
        </is>
      </c>
      <c r="H242" t="inlineStr">
        <is>
          <t>pdf</t>
        </is>
      </c>
      <c r="I242" t="inlineStr">
        <is>
          <t>DOWNLOAD</t>
        </is>
      </c>
      <c r="J242" t="n">
        <v>1.33414268</v>
      </c>
      <c r="K242" t="inlineStr">
        <is>
          <t>Unread</t>
        </is>
      </c>
      <c r="L242" s="153" t="n">
        <v>46176.92764111111</v>
      </c>
      <c r="M242" t="inlineStr">
        <is>
          <t>698cd99220d1aa48fdb093ef</t>
        </is>
      </c>
    </row>
    <row r="243">
      <c r="A243" s="149" t="inlineStr">
        <is>
          <t>Project Notos</t>
        </is>
      </c>
      <c r="B243" s="149" t="inlineStr">
        <is>
          <t>1.2.1.3</t>
        </is>
      </c>
      <c r="C243" s="17" t="inlineStr">
        <is>
          <t>Chain of title</t>
        </is>
      </c>
      <c r="D243" s="25" t="n"/>
      <c r="F243" s="150">
        <f>HYPERLINK("https://app.global.datasite.com/platform/container/696652ec0dc07cc02daa26a0/documents/content/index/698cb83b15e348f1a2434a9a","Chain of title")</f>
        <v/>
      </c>
      <c r="G243" s="149" t="inlineStr">
        <is>
          <t>FOLDER</t>
        </is>
      </c>
      <c r="H243" s="149" t="n"/>
      <c r="I243" s="149" t="inlineStr">
        <is>
          <t>DOWNLOAD</t>
        </is>
      </c>
      <c r="J243" s="149" t="n"/>
      <c r="K243" s="149" t="inlineStr">
        <is>
          <t>Unread</t>
        </is>
      </c>
      <c r="L243" s="152" t="n">
        <v>46176.92764111111</v>
      </c>
      <c r="M243" s="149" t="inlineStr">
        <is>
          <t>698cb83b15e348f1a2434a9a</t>
        </is>
      </c>
    </row>
    <row r="244">
      <c r="A244" t="inlineStr">
        <is>
          <t>Project Notos</t>
        </is>
      </c>
      <c r="B244" t="inlineStr">
        <is>
          <t>1.2.1.3.1</t>
        </is>
      </c>
      <c r="C244" s="15" t="inlineStr">
        <is>
          <t>IHE_Share Transfer Agreement_Modine Austria_20051212</t>
        </is>
      </c>
      <c r="D244" s="29" t="inlineStr">
        <is>
          <t>SHO / RZA / MHL</t>
        </is>
      </c>
      <c r="F244" s="151">
        <f>HYPERLINK("https://app.global.datasite.com/webviewer/?projectId=696652ec0dc07cc02daa26a0&amp;documentId=69e63feebf614fb73c76d223","IHE_Share Transfer Agreement_Modine Austria_20051212")</f>
        <v/>
      </c>
      <c r="G244" t="inlineStr">
        <is>
          <t>DOCUMENT</t>
        </is>
      </c>
      <c r="H244" t="inlineStr">
        <is>
          <t>pdf</t>
        </is>
      </c>
      <c r="I244" t="inlineStr">
        <is>
          <t>DOWNLOAD</t>
        </is>
      </c>
      <c r="J244" t="n">
        <v>4.53739643</v>
      </c>
      <c r="K244" t="inlineStr">
        <is>
          <t>Unread</t>
        </is>
      </c>
      <c r="L244" s="153" t="n">
        <v>46176.92764111111</v>
      </c>
      <c r="M244" t="inlineStr">
        <is>
          <t>69e63feebf614fb73c76d223</t>
        </is>
      </c>
    </row>
    <row r="245">
      <c r="A245" s="149" t="inlineStr">
        <is>
          <t>Project Notos</t>
        </is>
      </c>
      <c r="B245" s="149" t="inlineStr">
        <is>
          <t>1.2.1.4</t>
        </is>
      </c>
      <c r="C245" s="17" t="inlineStr">
        <is>
          <t>Company agreements</t>
        </is>
      </c>
      <c r="D245" s="25" t="n"/>
      <c r="F245" s="150">
        <f>HYPERLINK("https://app.global.datasite.com/platform/container/696652ec0dc07cc02daa26a0/documents/content/index/69bd20c8ec74eaf0ce095f00","Company agreements")</f>
        <v/>
      </c>
      <c r="G245" s="149" t="inlineStr">
        <is>
          <t>FOLDER</t>
        </is>
      </c>
      <c r="H245" s="149" t="n"/>
      <c r="I245" s="149" t="inlineStr">
        <is>
          <t>DOWNLOAD</t>
        </is>
      </c>
      <c r="J245" s="149" t="n"/>
      <c r="K245" s="149" t="inlineStr">
        <is>
          <t>Unread</t>
        </is>
      </c>
      <c r="L245" s="152" t="n">
        <v>46176.92764111111</v>
      </c>
      <c r="M245" s="149" t="inlineStr">
        <is>
          <t>69bd20c8ec74eaf0ce095f00</t>
        </is>
      </c>
    </row>
    <row r="246">
      <c r="A246" t="inlineStr">
        <is>
          <t>Project Notos</t>
        </is>
      </c>
      <c r="B246" t="inlineStr">
        <is>
          <t>1.2.1.4.1</t>
        </is>
      </c>
      <c r="C246" s="15" t="inlineStr">
        <is>
          <t>IHE_group service agreement_241230</t>
        </is>
      </c>
      <c r="D246" s="22" t="inlineStr">
        <is>
          <t>HBU / FDE</t>
        </is>
      </c>
      <c r="F246" s="151">
        <f>HYPERLINK("https://app.global.datasite.com/webviewer/?projectId=696652ec0dc07cc02daa26a0&amp;documentId=69bd214bcbf7144146ad3875","IHE_group service agreement_241230")</f>
        <v/>
      </c>
      <c r="G246" t="inlineStr">
        <is>
          <t>DOCUMENT</t>
        </is>
      </c>
      <c r="H246" t="inlineStr">
        <is>
          <t>pdf</t>
        </is>
      </c>
      <c r="I246" t="inlineStr">
        <is>
          <t>DOWNLOAD</t>
        </is>
      </c>
      <c r="J246" t="n">
        <v>0.27256011</v>
      </c>
      <c r="K246" t="inlineStr">
        <is>
          <t>Unread</t>
        </is>
      </c>
      <c r="L246" s="153" t="n">
        <v>46176.92764111111</v>
      </c>
      <c r="M246" t="inlineStr">
        <is>
          <t>69bd214bcbf7144146ad3875</t>
        </is>
      </c>
    </row>
    <row r="247">
      <c r="A247" t="inlineStr">
        <is>
          <t>Project Notos</t>
        </is>
      </c>
      <c r="B247" t="inlineStr">
        <is>
          <t>1.2.1.4.2</t>
        </is>
      </c>
      <c r="C247" s="15" t="inlineStr">
        <is>
          <t>IHE_waiver of claims RF_251231</t>
        </is>
      </c>
      <c r="D247" s="22" t="inlineStr">
        <is>
          <t>HBU / FDE</t>
        </is>
      </c>
      <c r="F247" s="151">
        <f>HYPERLINK("https://app.global.datasite.com/webviewer/?projectId=696652ec0dc07cc02daa26a0&amp;documentId=69bd214bcbf7144146ad3876","IHE_waiver of claims RF_251231")</f>
        <v/>
      </c>
      <c r="G247" t="inlineStr">
        <is>
          <t>DOCUMENT</t>
        </is>
      </c>
      <c r="H247" t="inlineStr">
        <is>
          <t>pdf</t>
        </is>
      </c>
      <c r="I247" t="inlineStr">
        <is>
          <t>DOWNLOAD</t>
        </is>
      </c>
      <c r="J247" t="n">
        <v>0.49620342</v>
      </c>
      <c r="K247" t="inlineStr">
        <is>
          <t>Unread</t>
        </is>
      </c>
      <c r="L247" s="153" t="n">
        <v>46176.92764111111</v>
      </c>
      <c r="M247" t="inlineStr">
        <is>
          <t>69bd214bcbf7144146ad3876</t>
        </is>
      </c>
    </row>
    <row r="248">
      <c r="A248" s="149" t="inlineStr">
        <is>
          <t>Project Notos</t>
        </is>
      </c>
      <c r="B248" s="149" t="inlineStr">
        <is>
          <t>1.2.1.4.3</t>
        </is>
      </c>
      <c r="C248" s="17" t="inlineStr">
        <is>
          <t>ITT</t>
        </is>
      </c>
      <c r="D248" s="25" t="n"/>
      <c r="F248" s="150">
        <f>HYPERLINK("https://app.global.datasite.com/platform/container/696652ec0dc07cc02daa26a0/documents/content/index/69c41390de0718c1a06ae63d","ITT")</f>
        <v/>
      </c>
      <c r="G248" s="149" t="inlineStr">
        <is>
          <t>FOLDER</t>
        </is>
      </c>
      <c r="H248" s="149" t="n"/>
      <c r="I248" s="149" t="inlineStr">
        <is>
          <t>DOWNLOAD</t>
        </is>
      </c>
      <c r="J248" s="149" t="n"/>
      <c r="K248" s="149" t="inlineStr">
        <is>
          <t>Unread</t>
        </is>
      </c>
      <c r="L248" s="152" t="n">
        <v>46176.92764111111</v>
      </c>
      <c r="M248" s="149" t="inlineStr">
        <is>
          <t>69c41390de0718c1a06ae63d</t>
        </is>
      </c>
    </row>
    <row r="249">
      <c r="A249" t="inlineStr">
        <is>
          <t>Project Notos</t>
        </is>
      </c>
      <c r="B249" t="inlineStr">
        <is>
          <t>1.2.1.4.3.1</t>
        </is>
      </c>
      <c r="C249" s="15" t="inlineStr">
        <is>
          <t>IHE_IC service agreement estra_240801</t>
        </is>
      </c>
      <c r="D249" s="22" t="inlineStr">
        <is>
          <t>HBU / FDE</t>
        </is>
      </c>
      <c r="F249" s="151">
        <f>HYPERLINK("https://app.global.datasite.com/webviewer/?projectId=696652ec0dc07cc02daa26a0&amp;documentId=69bd214bcbf7144146ad3878","IHE_IC service agreement estra_240801")</f>
        <v/>
      </c>
      <c r="G249" t="inlineStr">
        <is>
          <t>DOCUMENT</t>
        </is>
      </c>
      <c r="H249" t="inlineStr">
        <is>
          <t>pdf</t>
        </is>
      </c>
      <c r="I249" t="inlineStr">
        <is>
          <t>DOWNLOAD</t>
        </is>
      </c>
      <c r="J249" t="n">
        <v>1.05092048</v>
      </c>
      <c r="K249" t="inlineStr">
        <is>
          <t>Unread</t>
        </is>
      </c>
      <c r="L249" s="153" t="n">
        <v>46176.92764111111</v>
      </c>
      <c r="M249" t="inlineStr">
        <is>
          <t>69bd214bcbf7144146ad3878</t>
        </is>
      </c>
    </row>
    <row r="250">
      <c r="A250" t="inlineStr">
        <is>
          <t>Project Notos</t>
        </is>
      </c>
      <c r="B250" t="inlineStr">
        <is>
          <t>1.2.1.4.3.2</t>
        </is>
      </c>
      <c r="C250" s="15" t="inlineStr">
        <is>
          <t>IHE_IC restructuring agreement estra_240919</t>
        </is>
      </c>
      <c r="D250" s="22" t="inlineStr">
        <is>
          <t>HBU / FDE</t>
        </is>
      </c>
      <c r="F250" s="151">
        <f>HYPERLINK("https://app.global.datasite.com/webviewer/?projectId=696652ec0dc07cc02daa26a0&amp;documentId=69bd214bcbf7144146ad3877","IHE_IC restructuring agreement estra_240919")</f>
        <v/>
      </c>
      <c r="G250" t="inlineStr">
        <is>
          <t>DOCUMENT</t>
        </is>
      </c>
      <c r="H250" t="inlineStr">
        <is>
          <t>pdf</t>
        </is>
      </c>
      <c r="I250" t="inlineStr">
        <is>
          <t>DOWNLOAD</t>
        </is>
      </c>
      <c r="J250" t="n">
        <v>0.39165973</v>
      </c>
      <c r="K250" t="inlineStr">
        <is>
          <t>Unread</t>
        </is>
      </c>
      <c r="L250" s="153" t="n">
        <v>46176.92764111111</v>
      </c>
      <c r="M250" t="inlineStr">
        <is>
          <t>69bd214bcbf7144146ad3877</t>
        </is>
      </c>
    </row>
    <row r="251">
      <c r="A251" t="inlineStr">
        <is>
          <t>Project Notos</t>
        </is>
      </c>
      <c r="B251" t="inlineStr">
        <is>
          <t>1.2.1.4.3.3</t>
        </is>
      </c>
      <c r="C251" s="15" t="inlineStr">
        <is>
          <t>IHE_debt assumption estra_250228</t>
        </is>
      </c>
      <c r="D251" s="23" t="inlineStr">
        <is>
          <t>PSH / DSN / TOR</t>
        </is>
      </c>
      <c r="F251" s="151">
        <f>HYPERLINK("https://app.global.datasite.com/webviewer/?projectId=696652ec0dc07cc02daa26a0&amp;documentId=69bd214bcbf7144146ad3879","IHE_debt assumption estra_250228")</f>
        <v/>
      </c>
      <c r="G251" t="inlineStr">
        <is>
          <t>DOCUMENT</t>
        </is>
      </c>
      <c r="H251" t="inlineStr">
        <is>
          <t>pdf</t>
        </is>
      </c>
      <c r="I251" t="inlineStr">
        <is>
          <t>DOWNLOAD</t>
        </is>
      </c>
      <c r="J251" t="n">
        <v>0.13160324</v>
      </c>
      <c r="K251" t="inlineStr">
        <is>
          <t>Unread</t>
        </is>
      </c>
      <c r="L251" s="153" t="n">
        <v>46176.92764111111</v>
      </c>
      <c r="M251" t="inlineStr">
        <is>
          <t>69bd214bcbf7144146ad3879</t>
        </is>
      </c>
    </row>
    <row r="252">
      <c r="A252" s="154" t="inlineStr">
        <is>
          <t>Project Notos</t>
        </is>
      </c>
      <c r="B252" s="154" t="inlineStr">
        <is>
          <t>1.2.1.4.4</t>
        </is>
      </c>
      <c r="C252" s="155" t="inlineStr">
        <is>
          <t>Dienstleistungsvereinbarung_042022 RF-IHE-FT</t>
        </is>
      </c>
      <c r="D252" s="156" t="n"/>
      <c r="E252" s="156" t="n"/>
      <c r="F252" s="157">
        <f>HYPERLINK("https://app.global.datasite.com/webviewer/?projectId=696652ec0dc07cc02daa26a0&amp;documentId=6a3a898ed3e46919af30a4a8","Dienstleistungsvereinbarung_042022 RF-IHE-FT")</f>
        <v/>
      </c>
      <c r="G252" s="154" t="inlineStr">
        <is>
          <t>DOCUMENT</t>
        </is>
      </c>
      <c r="H252" s="154" t="inlineStr">
        <is>
          <t>pdf</t>
        </is>
      </c>
      <c r="I252" s="154" t="inlineStr">
        <is>
          <t>DOWNLOAD</t>
        </is>
      </c>
      <c r="J252" s="154" t="n">
        <v>0.61709022</v>
      </c>
      <c r="K252" s="154" t="inlineStr">
        <is>
          <t>Unread</t>
        </is>
      </c>
      <c r="L252" s="158" t="n">
        <v>46196.67957361111</v>
      </c>
      <c r="M252" s="154" t="inlineStr">
        <is>
          <t>6a3a898ed3e46919af30a4a8</t>
        </is>
      </c>
    </row>
    <row r="253">
      <c r="A253" s="149" t="inlineStr">
        <is>
          <t>Project Notos</t>
        </is>
      </c>
      <c r="B253" s="149" t="inlineStr">
        <is>
          <t>1.2.1.5</t>
        </is>
      </c>
      <c r="C253" s="17" t="inlineStr">
        <is>
          <t>Miscellaneous</t>
        </is>
      </c>
      <c r="D253" s="25" t="n"/>
      <c r="F253" s="150">
        <f>HYPERLINK("https://app.global.datasite.com/platform/container/696652ec0dc07cc02daa26a0/documents/content/index/69a6f11744d59829d80a3a3f","Miscellaneous")</f>
        <v/>
      </c>
      <c r="G253" s="149" t="inlineStr">
        <is>
          <t>FOLDER</t>
        </is>
      </c>
      <c r="H253" s="149" t="n"/>
      <c r="I253" s="149" t="inlineStr">
        <is>
          <t>DOWNLOAD</t>
        </is>
      </c>
      <c r="J253" s="149" t="n"/>
      <c r="K253" s="149" t="inlineStr">
        <is>
          <t>Unread</t>
        </is>
      </c>
      <c r="L253" s="152" t="n">
        <v>46176.92764111111</v>
      </c>
      <c r="M253" s="149" t="inlineStr">
        <is>
          <t>69a6f11744d59829d80a3a3f</t>
        </is>
      </c>
    </row>
    <row r="254">
      <c r="A254" t="inlineStr">
        <is>
          <t>Project Notos</t>
        </is>
      </c>
      <c r="B254" t="inlineStr">
        <is>
          <t>1.2.1.5.1</t>
        </is>
      </c>
      <c r="C254" s="15" t="inlineStr">
        <is>
          <t>IHE_Austrian Trade Register Extract_20260309</t>
        </is>
      </c>
      <c r="D254" s="27" t="inlineStr">
        <is>
          <t>ANI / ANG</t>
        </is>
      </c>
      <c r="F254" s="151">
        <f>HYPERLINK("https://app.global.datasite.com/webviewer/?projectId=696652ec0dc07cc02daa26a0&amp;documentId=69b2f89dfd39bbeb296fb501","IHE_Austrian Trade Register Extract_20260309")</f>
        <v/>
      </c>
      <c r="G254" t="inlineStr">
        <is>
          <t>DOCUMENT</t>
        </is>
      </c>
      <c r="H254" t="inlineStr">
        <is>
          <t>pdf</t>
        </is>
      </c>
      <c r="I254" t="inlineStr">
        <is>
          <t>DOWNLOAD</t>
        </is>
      </c>
      <c r="J254" t="n">
        <v>0.19375705</v>
      </c>
      <c r="K254" t="inlineStr">
        <is>
          <t>Unread</t>
        </is>
      </c>
      <c r="L254" s="153" t="n">
        <v>46176.92764111111</v>
      </c>
      <c r="M254" t="inlineStr">
        <is>
          <t>69b2f89dfd39bbeb296fb501</t>
        </is>
      </c>
    </row>
    <row r="255">
      <c r="A255" t="inlineStr">
        <is>
          <t>Project Notos</t>
        </is>
      </c>
      <c r="B255" t="inlineStr">
        <is>
          <t>1.2.1.5.2</t>
        </is>
      </c>
      <c r="C255" s="15" t="inlineStr">
        <is>
          <t>IHE_RoP supervisory board _210907</t>
        </is>
      </c>
      <c r="D255" s="21" t="inlineStr">
        <is>
          <t>SHO / RZA / MHL</t>
        </is>
      </c>
      <c r="F255" s="151">
        <f>HYPERLINK("https://app.global.datasite.com/webviewer/?projectId=696652ec0dc07cc02daa26a0&amp;documentId=69bd1f8f0230325cb85d234d","IHE_RoP supervisory board _210907")</f>
        <v/>
      </c>
      <c r="G255" t="inlineStr">
        <is>
          <t>DOCUMENT</t>
        </is>
      </c>
      <c r="H255" t="inlineStr">
        <is>
          <t>pdf</t>
        </is>
      </c>
      <c r="I255" t="inlineStr">
        <is>
          <t>DOWNLOAD</t>
        </is>
      </c>
      <c r="J255" t="n">
        <v>0.07701587</v>
      </c>
      <c r="K255" t="inlineStr">
        <is>
          <t>Unread</t>
        </is>
      </c>
      <c r="L255" s="153" t="n">
        <v>46176.92764111111</v>
      </c>
      <c r="M255" t="inlineStr">
        <is>
          <t>69bd1f8f0230325cb85d234d</t>
        </is>
      </c>
    </row>
    <row r="256">
      <c r="A256" t="inlineStr">
        <is>
          <t>Project Notos</t>
        </is>
      </c>
      <c r="B256" t="inlineStr">
        <is>
          <t>1.2.1.5.3</t>
        </is>
      </c>
      <c r="C256" s="15" t="inlineStr">
        <is>
          <t>IHE_business license_260302</t>
        </is>
      </c>
      <c r="D256" s="27" t="inlineStr">
        <is>
          <t>ANI / ANG</t>
        </is>
      </c>
      <c r="F256" s="151">
        <f>HYPERLINK("https://app.global.datasite.com/webviewer/?projectId=696652ec0dc07cc02daa26a0&amp;documentId=69bd22347f48566a39cf6c2c","IHE_business license_260302")</f>
        <v/>
      </c>
      <c r="G256" t="inlineStr">
        <is>
          <t>DOCUMENT</t>
        </is>
      </c>
      <c r="H256" t="inlineStr">
        <is>
          <t>pdf</t>
        </is>
      </c>
      <c r="I256" t="inlineStr">
        <is>
          <t>DOWNLOAD</t>
        </is>
      </c>
      <c r="J256" t="n">
        <v>0.19376564</v>
      </c>
      <c r="K256" t="inlineStr">
        <is>
          <t>Unread</t>
        </is>
      </c>
      <c r="L256" s="153" t="n">
        <v>46176.92764111111</v>
      </c>
      <c r="M256" t="inlineStr">
        <is>
          <t>69bd22347f48566a39cf6c2c</t>
        </is>
      </c>
    </row>
    <row r="257">
      <c r="A257" t="inlineStr">
        <is>
          <t>Project Notos</t>
        </is>
      </c>
      <c r="B257" t="inlineStr">
        <is>
          <t>1.2.1.5.4</t>
        </is>
      </c>
      <c r="C257" s="15" t="inlineStr">
        <is>
          <t>IHE_business license_260302</t>
        </is>
      </c>
      <c r="D257" s="27" t="inlineStr">
        <is>
          <t>ANI / ANG</t>
        </is>
      </c>
      <c r="F257" s="151">
        <f>HYPERLINK("https://app.global.datasite.com/webviewer/?projectId=696652ec0dc07cc02daa26a0&amp;documentId=69bd22347f48566a39cf6c2d","IHE_business license_260302")</f>
        <v/>
      </c>
      <c r="G257" t="inlineStr">
        <is>
          <t>DOCUMENT</t>
        </is>
      </c>
      <c r="H257" t="inlineStr">
        <is>
          <t>pdf</t>
        </is>
      </c>
      <c r="I257" t="inlineStr">
        <is>
          <t>DOWNLOAD</t>
        </is>
      </c>
      <c r="J257" t="n">
        <v>0.19391536</v>
      </c>
      <c r="K257" t="inlineStr">
        <is>
          <t>Unread</t>
        </is>
      </c>
      <c r="L257" s="153" t="n">
        <v>46176.92764111111</v>
      </c>
      <c r="M257" t="inlineStr">
        <is>
          <t>69bd22347f48566a39cf6c2d</t>
        </is>
      </c>
    </row>
    <row r="258">
      <c r="A258" s="149" t="inlineStr">
        <is>
          <t>Project Notos</t>
        </is>
      </c>
      <c r="B258" s="149" t="inlineStr">
        <is>
          <t>1.2.1.6</t>
        </is>
      </c>
      <c r="C258" s="17" t="inlineStr">
        <is>
          <t>Shareholder resolutions</t>
        </is>
      </c>
      <c r="D258" s="25" t="n"/>
      <c r="F258" s="150">
        <f>HYPERLINK("https://app.global.datasite.com/platform/container/696652ec0dc07cc02daa26a0/documents/content/index/69dfdfda4748b97ada8a6e23","Shareholder resolutions")</f>
        <v/>
      </c>
      <c r="G258" s="149" t="inlineStr">
        <is>
          <t>FOLDER</t>
        </is>
      </c>
      <c r="H258" s="149" t="n"/>
      <c r="I258" s="149" t="inlineStr">
        <is>
          <t>DOWNLOAD</t>
        </is>
      </c>
      <c r="J258" s="149" t="n"/>
      <c r="K258" s="149" t="inlineStr">
        <is>
          <t>Unread</t>
        </is>
      </c>
      <c r="L258" s="152" t="n">
        <v>46176.92764111111</v>
      </c>
      <c r="M258" s="149" t="inlineStr">
        <is>
          <t>69dfdfda4748b97ada8a6e23</t>
        </is>
      </c>
    </row>
    <row r="259">
      <c r="A259" t="inlineStr">
        <is>
          <t>Project Notos</t>
        </is>
      </c>
      <c r="B259" t="inlineStr">
        <is>
          <t>1.2.1.6.1</t>
        </is>
      </c>
      <c r="C259" s="15" t="inlineStr">
        <is>
          <t>IHE_SR_171213</t>
        </is>
      </c>
      <c r="D259" s="29" t="inlineStr">
        <is>
          <t>SHO / RZA / MHL</t>
        </is>
      </c>
      <c r="F259" s="151">
        <f>HYPERLINK("https://app.global.datasite.com/webviewer/?projectId=696652ec0dc07cc02daa26a0&amp;documentId=69bd244c00cd582225becb7e","IHE_SR_171213")</f>
        <v/>
      </c>
      <c r="G259" t="inlineStr">
        <is>
          <t>DOCUMENT</t>
        </is>
      </c>
      <c r="H259" t="inlineStr">
        <is>
          <t>pdf</t>
        </is>
      </c>
      <c r="I259" t="inlineStr">
        <is>
          <t>DOWNLOAD</t>
        </is>
      </c>
      <c r="J259" t="n">
        <v>0.24454307</v>
      </c>
      <c r="K259" t="inlineStr">
        <is>
          <t>Unread</t>
        </is>
      </c>
      <c r="L259" s="153" t="n">
        <v>46176.92764111111</v>
      </c>
      <c r="M259" t="inlineStr">
        <is>
          <t>69bd244c00cd582225becb7e</t>
        </is>
      </c>
    </row>
    <row r="260">
      <c r="A260" t="inlineStr">
        <is>
          <t>Project Notos</t>
        </is>
      </c>
      <c r="B260" t="inlineStr">
        <is>
          <t>1.2.1.6.2</t>
        </is>
      </c>
      <c r="C260" s="15" t="inlineStr">
        <is>
          <t>IHE_SR_231215</t>
        </is>
      </c>
      <c r="D260" s="29" t="inlineStr">
        <is>
          <t>SHO / RZA / MHL</t>
        </is>
      </c>
      <c r="F260" s="151">
        <f>HYPERLINK("https://app.global.datasite.com/webviewer/?projectId=696652ec0dc07cc02daa26a0&amp;documentId=69bd244c00cd582225becb7f","IHE_SR_231215")</f>
        <v/>
      </c>
      <c r="G260" t="inlineStr">
        <is>
          <t>DOCUMENT</t>
        </is>
      </c>
      <c r="H260" t="inlineStr">
        <is>
          <t>pdf</t>
        </is>
      </c>
      <c r="I260" t="inlineStr">
        <is>
          <t>DOWNLOAD</t>
        </is>
      </c>
      <c r="J260" t="n">
        <v>0.16823196</v>
      </c>
      <c r="K260" t="inlineStr">
        <is>
          <t>Unread</t>
        </is>
      </c>
      <c r="L260" s="153" t="n">
        <v>46176.92764111111</v>
      </c>
      <c r="M260" t="inlineStr">
        <is>
          <t>69bd244c00cd582225becb7f</t>
        </is>
      </c>
    </row>
    <row r="261">
      <c r="A261" t="inlineStr">
        <is>
          <t>Project Notos</t>
        </is>
      </c>
      <c r="B261" t="inlineStr">
        <is>
          <t>1.2.1.6.3</t>
        </is>
      </c>
      <c r="C261" s="15" t="inlineStr">
        <is>
          <t>IHE_Shareholders Resolution_20230511</t>
        </is>
      </c>
      <c r="D261" s="29" t="inlineStr">
        <is>
          <t>SHO / RZA / MHL</t>
        </is>
      </c>
      <c r="F261" s="151">
        <f>HYPERLINK("https://app.global.datasite.com/webviewer/?projectId=696652ec0dc07cc02daa26a0&amp;documentId=69a9c3c756479676113efc9d","IHE_Shareholders Resolution_20230511")</f>
        <v/>
      </c>
      <c r="G261" t="inlineStr">
        <is>
          <t>DOCUMENT</t>
        </is>
      </c>
      <c r="H261" t="inlineStr">
        <is>
          <t>pdf</t>
        </is>
      </c>
      <c r="I261" t="inlineStr">
        <is>
          <t>DOWNLOAD</t>
        </is>
      </c>
      <c r="J261" t="n">
        <v>0.27204799</v>
      </c>
      <c r="K261" t="inlineStr">
        <is>
          <t>Unread</t>
        </is>
      </c>
      <c r="L261" s="153" t="n">
        <v>46176.92764111111</v>
      </c>
      <c r="M261" t="inlineStr">
        <is>
          <t>69a9c3c756479676113efc9d</t>
        </is>
      </c>
    </row>
    <row r="262">
      <c r="A262" t="inlineStr">
        <is>
          <t>Project Notos</t>
        </is>
      </c>
      <c r="B262" t="inlineStr">
        <is>
          <t>1.2.1.6.4</t>
        </is>
      </c>
      <c r="C262" s="15" t="inlineStr">
        <is>
          <t>IHE_Shareholders Resolution_20250830</t>
        </is>
      </c>
      <c r="D262" s="29" t="inlineStr">
        <is>
          <t>SHO / RZA / MHL</t>
        </is>
      </c>
      <c r="F262" s="151">
        <f>HYPERLINK("https://app.global.datasite.com/webviewer/?projectId=696652ec0dc07cc02daa26a0&amp;documentId=69a9c3c756479676113efc9c","IHE_Shareholders Resolution_20250830")</f>
        <v/>
      </c>
      <c r="G262" t="inlineStr">
        <is>
          <t>DOCUMENT</t>
        </is>
      </c>
      <c r="H262" t="inlineStr">
        <is>
          <t>pdf</t>
        </is>
      </c>
      <c r="I262" t="inlineStr">
        <is>
          <t>DOWNLOAD</t>
        </is>
      </c>
      <c r="J262" t="n">
        <v>0.28179931</v>
      </c>
      <c r="K262" t="inlineStr">
        <is>
          <t>Unread</t>
        </is>
      </c>
      <c r="L262" s="153" t="n">
        <v>46176.92764111111</v>
      </c>
      <c r="M262" t="inlineStr">
        <is>
          <t>69a9c3c756479676113efc9c</t>
        </is>
      </c>
    </row>
    <row r="263">
      <c r="A263" t="inlineStr">
        <is>
          <t>Project Notos</t>
        </is>
      </c>
      <c r="B263" t="inlineStr">
        <is>
          <t>1.2.1.6.5</t>
        </is>
      </c>
      <c r="C263" s="15" t="inlineStr">
        <is>
          <t>220422_Gesellschafterbeschluss_2021</t>
        </is>
      </c>
      <c r="D263" s="29" t="inlineStr">
        <is>
          <t>SHO / RZA / MHL</t>
        </is>
      </c>
      <c r="F263" s="151">
        <f>HYPERLINK("https://app.global.datasite.com/webviewer/?projectId=696652ec0dc07cc02daa26a0&amp;documentId=69e0e5ed17718e6e798090cb","220422_Gesellschafterbeschluss_2021")</f>
        <v/>
      </c>
      <c r="G263" t="inlineStr">
        <is>
          <t>DOCUMENT</t>
        </is>
      </c>
      <c r="H263" t="inlineStr">
        <is>
          <t>pdf</t>
        </is>
      </c>
      <c r="I263" t="inlineStr">
        <is>
          <t>DOWNLOAD</t>
        </is>
      </c>
      <c r="J263" t="n">
        <v>0.03633213</v>
      </c>
      <c r="K263" t="inlineStr">
        <is>
          <t>Unread</t>
        </is>
      </c>
      <c r="L263" s="153" t="n">
        <v>46176.92764111111</v>
      </c>
      <c r="M263" t="inlineStr">
        <is>
          <t>69e0e5ed17718e6e798090cb</t>
        </is>
      </c>
    </row>
    <row r="264">
      <c r="A264" t="inlineStr">
        <is>
          <t>Project Notos</t>
        </is>
      </c>
      <c r="B264" t="inlineStr">
        <is>
          <t>1.2.1.6.6</t>
        </is>
      </c>
      <c r="C264" s="15" t="inlineStr">
        <is>
          <t>250521_Gesellschafterbeschluss_2024</t>
        </is>
      </c>
      <c r="D264" s="29" t="inlineStr">
        <is>
          <t>SHO / RZA / MHL</t>
        </is>
      </c>
      <c r="F264" s="151">
        <f>HYPERLINK("https://app.global.datasite.com/webviewer/?projectId=696652ec0dc07cc02daa26a0&amp;documentId=69e0e5ed17718e6e798090cf","250521_Gesellschafterbeschluss_2024")</f>
        <v/>
      </c>
      <c r="G264" t="inlineStr">
        <is>
          <t>DOCUMENT</t>
        </is>
      </c>
      <c r="H264" t="inlineStr">
        <is>
          <t>pdf</t>
        </is>
      </c>
      <c r="I264" t="inlineStr">
        <is>
          <t>DOWNLOAD</t>
        </is>
      </c>
      <c r="J264" t="n">
        <v>0.02605724</v>
      </c>
      <c r="K264" t="inlineStr">
        <is>
          <t>Unread</t>
        </is>
      </c>
      <c r="L264" s="153" t="n">
        <v>46176.92764111111</v>
      </c>
      <c r="M264" t="inlineStr">
        <is>
          <t>69e0e5ed17718e6e798090cf</t>
        </is>
      </c>
    </row>
    <row r="265">
      <c r="A265" t="inlineStr">
        <is>
          <t>Project Notos</t>
        </is>
      </c>
      <c r="B265" t="inlineStr">
        <is>
          <t>1.2.1.6.7</t>
        </is>
      </c>
      <c r="C265" s="15" t="inlineStr">
        <is>
          <t>230427_Gesellschafterbeschluss_2022</t>
        </is>
      </c>
      <c r="D265" s="29" t="inlineStr">
        <is>
          <t>SHO / RZA / MHL</t>
        </is>
      </c>
      <c r="F265" s="151">
        <f>HYPERLINK("https://app.global.datasite.com/webviewer/?projectId=696652ec0dc07cc02daa26a0&amp;documentId=69e0e5ed17718e6e798090cc","230427_Gesellschafterbeschluss_2022")</f>
        <v/>
      </c>
      <c r="G265" t="inlineStr">
        <is>
          <t>DOCUMENT</t>
        </is>
      </c>
      <c r="H265" t="inlineStr">
        <is>
          <t>pdf</t>
        </is>
      </c>
      <c r="I265" t="inlineStr">
        <is>
          <t>DOWNLOAD</t>
        </is>
      </c>
      <c r="J265" t="n">
        <v>0.22282981</v>
      </c>
      <c r="K265" t="inlineStr">
        <is>
          <t>Unread</t>
        </is>
      </c>
      <c r="L265" s="153" t="n">
        <v>46176.92764111111</v>
      </c>
      <c r="M265" t="inlineStr">
        <is>
          <t>69e0e5ed17718e6e798090cc</t>
        </is>
      </c>
    </row>
    <row r="266">
      <c r="A266" t="inlineStr">
        <is>
          <t>Project Notos</t>
        </is>
      </c>
      <c r="B266" t="inlineStr">
        <is>
          <t>1.2.1.6.8</t>
        </is>
      </c>
      <c r="C266" s="15" t="inlineStr">
        <is>
          <t>240131_Gesellschafterbeschluss_2023</t>
        </is>
      </c>
      <c r="D266" s="29" t="inlineStr">
        <is>
          <t>SHO / RZA / MHL</t>
        </is>
      </c>
      <c r="F266" s="151">
        <f>HYPERLINK("https://app.global.datasite.com/webviewer/?projectId=696652ec0dc07cc02daa26a0&amp;documentId=69e0e5ed17718e6e798090ce","240131_Gesellschafterbeschluss_2023")</f>
        <v/>
      </c>
      <c r="G266" t="inlineStr">
        <is>
          <t>DOCUMENT</t>
        </is>
      </c>
      <c r="H266" t="inlineStr">
        <is>
          <t>pdf</t>
        </is>
      </c>
      <c r="I266" t="inlineStr">
        <is>
          <t>DOWNLOAD</t>
        </is>
      </c>
      <c r="J266" t="n">
        <v>0.03085136</v>
      </c>
      <c r="K266" t="inlineStr">
        <is>
          <t>Unread</t>
        </is>
      </c>
      <c r="L266" s="153" t="n">
        <v>46176.92764111111</v>
      </c>
      <c r="M266" t="inlineStr">
        <is>
          <t>69e0e5ed17718e6e798090ce</t>
        </is>
      </c>
    </row>
    <row r="267">
      <c r="A267" s="149" t="inlineStr">
        <is>
          <t>Project Notos</t>
        </is>
      </c>
      <c r="B267" s="149" t="inlineStr">
        <is>
          <t>1.2.2</t>
        </is>
      </c>
      <c r="C267" s="17" t="inlineStr">
        <is>
          <t>Commercial</t>
        </is>
      </c>
      <c r="D267" s="25" t="n"/>
      <c r="F267" s="150">
        <f>HYPERLINK("https://app.global.datasite.com/platform/container/696652ec0dc07cc02daa26a0/documents/content/index/69bd1dd3ec74eaf0ce095e75","Commercial")</f>
        <v/>
      </c>
      <c r="G267" s="149" t="inlineStr">
        <is>
          <t>FOLDER</t>
        </is>
      </c>
      <c r="H267" s="149" t="n"/>
      <c r="I267" s="149" t="inlineStr">
        <is>
          <t>DOWNLOAD</t>
        </is>
      </c>
      <c r="J267" s="149" t="n"/>
      <c r="K267" s="149" t="inlineStr">
        <is>
          <t>Unread</t>
        </is>
      </c>
      <c r="L267" s="152" t="n">
        <v>46176.92764111111</v>
      </c>
      <c r="M267" s="149" t="inlineStr">
        <is>
          <t>69bd1dd3ec74eaf0ce095e75</t>
        </is>
      </c>
    </row>
    <row r="268">
      <c r="A268" s="149" t="inlineStr">
        <is>
          <t>Project Notos</t>
        </is>
      </c>
      <c r="B268" s="149" t="inlineStr">
        <is>
          <t>1.2.2.1</t>
        </is>
      </c>
      <c r="C268" s="17" t="inlineStr">
        <is>
          <t>General Terms and Conditions</t>
        </is>
      </c>
      <c r="D268" s="25" t="n"/>
      <c r="F268" s="150">
        <f>HYPERLINK("https://app.global.datasite.com/platform/container/696652ec0dc07cc02daa26a0/documents/content/index/69bd4ee3b03e7d31c6a4a266","General Terms and Conditions")</f>
        <v/>
      </c>
      <c r="G268" s="149" t="inlineStr">
        <is>
          <t>FOLDER</t>
        </is>
      </c>
      <c r="H268" s="149" t="n"/>
      <c r="I268" s="149" t="inlineStr">
        <is>
          <t>DOWNLOAD</t>
        </is>
      </c>
      <c r="J268" s="149" t="n"/>
      <c r="K268" s="149" t="inlineStr">
        <is>
          <t>Unread</t>
        </is>
      </c>
      <c r="L268" s="152" t="n">
        <v>46176.92764111111</v>
      </c>
      <c r="M268" s="149" t="inlineStr">
        <is>
          <t>69bd4ee3b03e7d31c6a4a266</t>
        </is>
      </c>
    </row>
    <row r="269">
      <c r="A269" t="inlineStr">
        <is>
          <t>Project Notos</t>
        </is>
      </c>
      <c r="B269" t="inlineStr">
        <is>
          <t>1.2.2.1.1</t>
        </is>
      </c>
      <c r="C269" s="15" t="inlineStr">
        <is>
          <t>IHE_gerneral purchase conditions EN_</t>
        </is>
      </c>
      <c r="D269" s="22" t="inlineStr">
        <is>
          <t>HBU / FDE</t>
        </is>
      </c>
      <c r="F269" s="151">
        <f>HYPERLINK("https://app.global.datasite.com/webviewer/?projectId=696652ec0dc07cc02daa26a0&amp;documentId=69bd1eb9e2032591068f1b19","IHE_gerneral purchase conditions EN_")</f>
        <v/>
      </c>
      <c r="G269" t="inlineStr">
        <is>
          <t>DOCUMENT</t>
        </is>
      </c>
      <c r="H269" t="inlineStr">
        <is>
          <t>pdf</t>
        </is>
      </c>
      <c r="I269" t="inlineStr">
        <is>
          <t>DOWNLOAD</t>
        </is>
      </c>
      <c r="J269" t="n">
        <v>0.19930076</v>
      </c>
      <c r="K269" t="inlineStr">
        <is>
          <t>Unread</t>
        </is>
      </c>
      <c r="L269" s="153" t="n">
        <v>46176.92764111111</v>
      </c>
      <c r="M269" t="inlineStr">
        <is>
          <t>69bd1eb9e2032591068f1b19</t>
        </is>
      </c>
    </row>
    <row r="270">
      <c r="A270" t="inlineStr">
        <is>
          <t>Project Notos</t>
        </is>
      </c>
      <c r="B270" t="inlineStr">
        <is>
          <t>1.2.2.1.2</t>
        </is>
      </c>
      <c r="C270" s="15" t="inlineStr">
        <is>
          <t>IHE_global supplier manual_</t>
        </is>
      </c>
      <c r="D270" s="22" t="inlineStr">
        <is>
          <t>HBU / FDE</t>
        </is>
      </c>
      <c r="F270" s="151">
        <f>HYPERLINK("https://app.global.datasite.com/webviewer/?projectId=696652ec0dc07cc02daa26a0&amp;documentId=69bd1eb9e2032591068f1b1a","IHE_global supplier manual_")</f>
        <v/>
      </c>
      <c r="G270" t="inlineStr">
        <is>
          <t>DOCUMENT</t>
        </is>
      </c>
      <c r="H270" t="inlineStr">
        <is>
          <t>pdf</t>
        </is>
      </c>
      <c r="I270" t="inlineStr">
        <is>
          <t>DOWNLOAD</t>
        </is>
      </c>
      <c r="J270" t="n">
        <v>1.0739088</v>
      </c>
      <c r="K270" t="inlineStr">
        <is>
          <t>Unread</t>
        </is>
      </c>
      <c r="L270" s="153" t="n">
        <v>46176.92764111111</v>
      </c>
      <c r="M270" t="inlineStr">
        <is>
          <t>69bd1eb9e2032591068f1b1a</t>
        </is>
      </c>
    </row>
    <row r="271">
      <c r="A271" t="inlineStr">
        <is>
          <t>Project Notos</t>
        </is>
      </c>
      <c r="B271" t="inlineStr">
        <is>
          <t>1.2.2.1.3</t>
        </is>
      </c>
      <c r="C271" s="15" t="inlineStr">
        <is>
          <t>IHE_gerneral purchase conditions DE_</t>
        </is>
      </c>
      <c r="D271" s="22" t="inlineStr">
        <is>
          <t>HBU / FDE</t>
        </is>
      </c>
      <c r="F271" s="151">
        <f>HYPERLINK("https://app.global.datasite.com/webviewer/?projectId=696652ec0dc07cc02daa26a0&amp;documentId=69bd1eb9e2032591068f1b1b","IHE_gerneral purchase conditions DE_")</f>
        <v/>
      </c>
      <c r="G271" t="inlineStr">
        <is>
          <t>DOCUMENT</t>
        </is>
      </c>
      <c r="H271" t="inlineStr">
        <is>
          <t>pdf</t>
        </is>
      </c>
      <c r="I271" t="inlineStr">
        <is>
          <t>DOWNLOAD</t>
        </is>
      </c>
      <c r="J271" t="n">
        <v>0.22065639</v>
      </c>
      <c r="K271" t="inlineStr">
        <is>
          <t>Unread</t>
        </is>
      </c>
      <c r="L271" s="153" t="n">
        <v>46176.92764111111</v>
      </c>
      <c r="M271" t="inlineStr">
        <is>
          <t>69bd1eb9e2032591068f1b1b</t>
        </is>
      </c>
    </row>
    <row r="272">
      <c r="A272" s="149" t="inlineStr">
        <is>
          <t>Project Notos</t>
        </is>
      </c>
      <c r="B272" s="149" t="inlineStr">
        <is>
          <t>1.2.3</t>
        </is>
      </c>
      <c r="C272" s="17" t="inlineStr">
        <is>
          <t>Financing</t>
        </is>
      </c>
      <c r="D272" s="25" t="n"/>
      <c r="F272" s="150">
        <f>HYPERLINK("https://app.global.datasite.com/platform/container/696652ec0dc07cc02daa26a0/documents/content/index/69bd1ffcec74eaf0ce095ef4","Financing")</f>
        <v/>
      </c>
      <c r="G272" s="149" t="inlineStr">
        <is>
          <t>FOLDER</t>
        </is>
      </c>
      <c r="H272" s="149" t="n"/>
      <c r="I272" s="149" t="inlineStr">
        <is>
          <t>DOWNLOAD</t>
        </is>
      </c>
      <c r="J272" s="149" t="n"/>
      <c r="K272" s="149" t="inlineStr">
        <is>
          <t>Unread</t>
        </is>
      </c>
      <c r="L272" s="152" t="n">
        <v>46176.92764111111</v>
      </c>
      <c r="M272" s="149" t="inlineStr">
        <is>
          <t>69bd1ffcec74eaf0ce095ef4</t>
        </is>
      </c>
    </row>
    <row r="273">
      <c r="A273" s="149" t="inlineStr">
        <is>
          <t>Project Notos</t>
        </is>
      </c>
      <c r="B273" s="149" t="inlineStr">
        <is>
          <t>1.2.3.1</t>
        </is>
      </c>
      <c r="C273" s="17" t="inlineStr">
        <is>
          <t>Customer F</t>
        </is>
      </c>
      <c r="D273" s="25" t="n"/>
      <c r="F273" s="150">
        <f>HYPERLINK("https://app.global.datasite.com/platform/container/696652ec0dc07cc02daa26a0/documents/content/index/69c419cbcbf7144146b7dcf0","Customer F")</f>
        <v/>
      </c>
      <c r="G273" s="149" t="inlineStr">
        <is>
          <t>FOLDER</t>
        </is>
      </c>
      <c r="H273" s="149" t="n"/>
      <c r="I273" s="149" t="inlineStr">
        <is>
          <t>DOWNLOAD</t>
        </is>
      </c>
      <c r="J273" s="149" t="n"/>
      <c r="K273" s="149" t="inlineStr">
        <is>
          <t>Unread</t>
        </is>
      </c>
      <c r="L273" s="152" t="n">
        <v>46176.92764111111</v>
      </c>
      <c r="M273" s="149" t="inlineStr">
        <is>
          <t>69c419cbcbf7144146b7dcf0</t>
        </is>
      </c>
    </row>
    <row r="274">
      <c r="A274" t="inlineStr">
        <is>
          <t>Project Notos</t>
        </is>
      </c>
      <c r="B274" t="inlineStr">
        <is>
          <t>1.2.3.1.1</t>
        </is>
      </c>
      <c r="C274" s="15" t="inlineStr">
        <is>
          <t>IHE_loan agreement from Customer F_210331</t>
        </is>
      </c>
      <c r="D274" s="23" t="inlineStr">
        <is>
          <t>PSH / DSN / TOR</t>
        </is>
      </c>
      <c r="F274" s="151">
        <f>HYPERLINK("https://app.global.datasite.com/webviewer/?projectId=696652ec0dc07cc02daa26a0&amp;documentId=698cd018cd666bb795894c92","IHE_loan agreement from Customer F_210331")</f>
        <v/>
      </c>
      <c r="G274" t="inlineStr">
        <is>
          <t>DOCUMENT</t>
        </is>
      </c>
      <c r="H274" t="inlineStr">
        <is>
          <t>pdf</t>
        </is>
      </c>
      <c r="I274" t="inlineStr">
        <is>
          <t>DOWNLOAD</t>
        </is>
      </c>
      <c r="J274" t="n">
        <v>2.31315612</v>
      </c>
      <c r="K274" t="inlineStr">
        <is>
          <t>Unread</t>
        </is>
      </c>
      <c r="L274" s="153" t="n">
        <v>46176.92764111111</v>
      </c>
      <c r="M274" t="inlineStr">
        <is>
          <t>698cd018cd666bb795894c92</t>
        </is>
      </c>
    </row>
    <row r="275">
      <c r="A275" t="inlineStr">
        <is>
          <t>Project Notos</t>
        </is>
      </c>
      <c r="B275" t="inlineStr">
        <is>
          <t>1.2.3.1.2</t>
        </is>
      </c>
      <c r="C275" s="15" t="inlineStr">
        <is>
          <t>IHE_amendment loan agreement Customer F_260327</t>
        </is>
      </c>
      <c r="D275" s="23" t="inlineStr">
        <is>
          <t>PSH / DSN / TOR</t>
        </is>
      </c>
      <c r="F275" s="151">
        <f>HYPERLINK("https://app.global.datasite.com/webviewer/?projectId=696652ec0dc07cc02daa26a0&amp;documentId=69ce539814eba47f8774255a","IHE_amendment loan agreement Customer F_260327")</f>
        <v/>
      </c>
      <c r="G275" t="inlineStr">
        <is>
          <t>DOCUMENT</t>
        </is>
      </c>
      <c r="H275" t="inlineStr">
        <is>
          <t>pdf</t>
        </is>
      </c>
      <c r="I275" t="inlineStr">
        <is>
          <t>DOWNLOAD</t>
        </is>
      </c>
      <c r="J275" t="n">
        <v>0.23883056</v>
      </c>
      <c r="K275" t="inlineStr">
        <is>
          <t>Unread</t>
        </is>
      </c>
      <c r="L275" s="153" t="n">
        <v>46176.92764111111</v>
      </c>
      <c r="M275" t="inlineStr">
        <is>
          <t>69ce539814eba47f8774255a</t>
        </is>
      </c>
    </row>
    <row r="276">
      <c r="A276" s="149" t="inlineStr">
        <is>
          <t>Project Notos</t>
        </is>
      </c>
      <c r="B276" s="149" t="inlineStr">
        <is>
          <t>1.2.3.2</t>
        </is>
      </c>
      <c r="C276" s="17" t="inlineStr">
        <is>
          <t>Factoring</t>
        </is>
      </c>
      <c r="D276" s="25" t="n"/>
      <c r="F276" s="150">
        <f>HYPERLINK("https://app.global.datasite.com/platform/container/696652ec0dc07cc02daa26a0/documents/content/index/69c5452b1fb084738d52667d","Factoring")</f>
        <v/>
      </c>
      <c r="G276" s="149" t="inlineStr">
        <is>
          <t>FOLDER</t>
        </is>
      </c>
      <c r="H276" s="149" t="n"/>
      <c r="I276" s="149" t="inlineStr">
        <is>
          <t>DOWNLOAD</t>
        </is>
      </c>
      <c r="J276" s="149" t="n"/>
      <c r="K276" s="149" t="inlineStr">
        <is>
          <t>Unread</t>
        </is>
      </c>
      <c r="L276" s="152" t="n">
        <v>46176.92764111111</v>
      </c>
      <c r="M276" s="149" t="inlineStr">
        <is>
          <t>69c5452b1fb084738d52667d</t>
        </is>
      </c>
    </row>
    <row r="277">
      <c r="A277" t="inlineStr">
        <is>
          <t>Project Notos</t>
        </is>
      </c>
      <c r="B277" t="inlineStr">
        <is>
          <t>1.2.3.2.1</t>
        </is>
      </c>
      <c r="C277" s="15" t="inlineStr">
        <is>
          <t>IHE_Factoring Raiffeisen Factor Bank_21.05.2025</t>
        </is>
      </c>
      <c r="D277" s="23" t="inlineStr">
        <is>
          <t>PSH / DSN / TOR</t>
        </is>
      </c>
      <c r="F277" s="151">
        <f>HYPERLINK("https://app.global.datasite.com/webviewer/?projectId=696652ec0dc07cc02daa26a0&amp;documentId=69c5453f17350af3e89c9e98","IHE_Factoring Raiffeisen Factor Bank_21.05.2025")</f>
        <v/>
      </c>
      <c r="G277" t="inlineStr">
        <is>
          <t>DOCUMENT</t>
        </is>
      </c>
      <c r="H277" t="inlineStr">
        <is>
          <t>pdf</t>
        </is>
      </c>
      <c r="I277" t="inlineStr">
        <is>
          <t>DOWNLOAD</t>
        </is>
      </c>
      <c r="J277" t="n">
        <v>1.35594177</v>
      </c>
      <c r="K277" t="inlineStr">
        <is>
          <t>Unread</t>
        </is>
      </c>
      <c r="L277" s="153" t="n">
        <v>46176.92764111111</v>
      </c>
      <c r="M277" t="inlineStr">
        <is>
          <t>69c5453f17350af3e89c9e98</t>
        </is>
      </c>
    </row>
    <row r="278">
      <c r="A278" s="149" t="inlineStr">
        <is>
          <t>Project Notos</t>
        </is>
      </c>
      <c r="B278" s="149" t="inlineStr">
        <is>
          <t>1.2.3.3</t>
        </is>
      </c>
      <c r="C278" s="17" t="inlineStr">
        <is>
          <t>IC loans</t>
        </is>
      </c>
      <c r="D278" s="25" t="n"/>
      <c r="F278" s="150">
        <f>HYPERLINK("https://app.global.datasite.com/platform/container/696652ec0dc07cc02daa26a0/documents/content/index/69f1d4f86db4ce0ba3a79dc4","IC loans")</f>
        <v/>
      </c>
      <c r="G278" s="149" t="inlineStr">
        <is>
          <t>FOLDER</t>
        </is>
      </c>
      <c r="H278" s="149" t="n"/>
      <c r="I278" s="149" t="inlineStr">
        <is>
          <t>DOWNLOAD</t>
        </is>
      </c>
      <c r="J278" s="149" t="n"/>
      <c r="K278" s="149" t="inlineStr">
        <is>
          <t>Unread</t>
        </is>
      </c>
      <c r="L278" s="152" t="n">
        <v>46176.92764111111</v>
      </c>
      <c r="M278" s="149" t="inlineStr">
        <is>
          <t>69f1d4f86db4ce0ba3a79dc4</t>
        </is>
      </c>
    </row>
    <row r="279">
      <c r="A279" t="inlineStr">
        <is>
          <t>Project Notos</t>
        </is>
      </c>
      <c r="B279" t="inlineStr">
        <is>
          <t>1.2.3.3.1</t>
        </is>
      </c>
      <c r="C279" s="15" t="inlineStr">
        <is>
          <t>IHE_loan agreement to RF (insolvency)</t>
        </is>
      </c>
      <c r="D279" s="23" t="inlineStr">
        <is>
          <t>PSH / DSN / TOR</t>
        </is>
      </c>
      <c r="F279" s="151">
        <f>HYPERLINK("https://app.global.datasite.com/webviewer/?projectId=696652ec0dc07cc02daa26a0&amp;documentId=69bd52950230325cb85d4b00","IHE_loan agreement to RF (insolvency)")</f>
        <v/>
      </c>
      <c r="G279" t="inlineStr">
        <is>
          <t>DOCUMENT</t>
        </is>
      </c>
      <c r="H279" t="inlineStr">
        <is>
          <t>pdf</t>
        </is>
      </c>
      <c r="I279" t="inlineStr">
        <is>
          <t>DOWNLOAD</t>
        </is>
      </c>
      <c r="J279" t="n">
        <v>0.67881202</v>
      </c>
      <c r="K279" t="inlineStr">
        <is>
          <t>Unread</t>
        </is>
      </c>
      <c r="L279" s="153" t="n">
        <v>46176.92764111111</v>
      </c>
      <c r="M279" t="inlineStr">
        <is>
          <t>69bd52950230325cb85d4b00</t>
        </is>
      </c>
    </row>
    <row r="280">
      <c r="A280" t="inlineStr">
        <is>
          <t>Project Notos</t>
        </is>
      </c>
      <c r="B280" t="inlineStr">
        <is>
          <t>1.2.3.3.2</t>
        </is>
      </c>
      <c r="C280" s="15" t="inlineStr">
        <is>
          <t>IHE_loan agreement from FT_260114</t>
        </is>
      </c>
      <c r="D280" s="23" t="inlineStr">
        <is>
          <t>PSH / DSN / TOR</t>
        </is>
      </c>
      <c r="F280" s="151">
        <f>HYPERLINK("https://app.global.datasite.com/webviewer/?projectId=696652ec0dc07cc02daa26a0&amp;documentId=69bd20a400cd582225becb02","IHE_loan agreement from FT_260114")</f>
        <v/>
      </c>
      <c r="G280" t="inlineStr">
        <is>
          <t>DOCUMENT</t>
        </is>
      </c>
      <c r="H280" t="inlineStr">
        <is>
          <t>pdf</t>
        </is>
      </c>
      <c r="I280" t="inlineStr">
        <is>
          <t>DOWNLOAD</t>
        </is>
      </c>
      <c r="J280" t="n">
        <v>4.0614376</v>
      </c>
      <c r="K280" t="inlineStr">
        <is>
          <t>Unread</t>
        </is>
      </c>
      <c r="L280" s="153" t="n">
        <v>46176.92764111111</v>
      </c>
      <c r="M280" t="inlineStr">
        <is>
          <t>69bd20a400cd582225becb02</t>
        </is>
      </c>
    </row>
    <row r="281">
      <c r="A281" s="149" t="inlineStr">
        <is>
          <t>Project Notos</t>
        </is>
      </c>
      <c r="B281" s="149" t="inlineStr">
        <is>
          <t>1.2.3.4</t>
        </is>
      </c>
      <c r="C281" s="17" t="inlineStr">
        <is>
          <t>Shareholder Loans</t>
        </is>
      </c>
      <c r="D281" s="25" t="n"/>
      <c r="F281" s="150">
        <f>HYPERLINK("https://app.global.datasite.com/platform/container/696652ec0dc07cc02daa26a0/documents/content/index/6a1e839e8a1cab285e192afd","Shareholder Loans")</f>
        <v/>
      </c>
      <c r="G281" s="149" t="inlineStr">
        <is>
          <t>FOLDER</t>
        </is>
      </c>
      <c r="H281" s="149" t="n"/>
      <c r="I281" s="149" t="inlineStr">
        <is>
          <t>DOWNLOAD</t>
        </is>
      </c>
      <c r="J281" s="149" t="n"/>
      <c r="K281" s="149" t="inlineStr">
        <is>
          <t>Unread</t>
        </is>
      </c>
      <c r="L281" s="152" t="n">
        <v>46176.92764111111</v>
      </c>
      <c r="M281" s="149" t="inlineStr">
        <is>
          <t>6a1e839e8a1cab285e192afd</t>
        </is>
      </c>
    </row>
    <row r="282">
      <c r="A282" t="inlineStr">
        <is>
          <t>Project Notos</t>
        </is>
      </c>
      <c r="B282" t="inlineStr">
        <is>
          <t>1.2.3.4.1</t>
        </is>
      </c>
      <c r="C282" s="15" t="inlineStr">
        <is>
          <t>IHE_Shareholder Loan Pöttinger _Verlängerung_ 500.000 €</t>
        </is>
      </c>
      <c r="D282" s="23" t="inlineStr">
        <is>
          <t>PSH / DSN / TOR</t>
        </is>
      </c>
      <c r="F282" s="151">
        <f>HYPERLINK("https://app.global.datasite.com/webviewer/?projectId=696652ec0dc07cc02daa26a0&amp;documentId=6a1e83a6d455559b5f9efa81","IHE_Shareholder Loan Pöttinger _Verlängerung_ 500.000 €")</f>
        <v/>
      </c>
      <c r="G282" t="inlineStr">
        <is>
          <t>DOCUMENT</t>
        </is>
      </c>
      <c r="H282" t="inlineStr">
        <is>
          <t>pdf</t>
        </is>
      </c>
      <c r="I282" t="inlineStr">
        <is>
          <t>DOWNLOAD</t>
        </is>
      </c>
      <c r="J282" t="n">
        <v>0.09258747000000001</v>
      </c>
      <c r="K282" t="inlineStr">
        <is>
          <t>Unread</t>
        </is>
      </c>
      <c r="L282" s="153" t="n">
        <v>46176.92764111111</v>
      </c>
      <c r="M282" t="inlineStr">
        <is>
          <t>6a1e83a6d455559b5f9efa81</t>
        </is>
      </c>
    </row>
    <row r="283">
      <c r="A283" s="149" t="inlineStr">
        <is>
          <t>Project Notos</t>
        </is>
      </c>
      <c r="B283" s="149" t="inlineStr">
        <is>
          <t>1.2.4</t>
        </is>
      </c>
      <c r="C283" s="17" t="inlineStr">
        <is>
          <t>Employment</t>
        </is>
      </c>
      <c r="D283" s="25" t="n"/>
      <c r="F283" s="150">
        <f>HYPERLINK("https://app.global.datasite.com/platform/container/696652ec0dc07cc02daa26a0/documents/content/index/698cc513f0199a4713d0c5b5","Employment")</f>
        <v/>
      </c>
      <c r="G283" s="149" t="inlineStr">
        <is>
          <t>FOLDER</t>
        </is>
      </c>
      <c r="H283" s="149" t="n"/>
      <c r="I283" s="149" t="inlineStr">
        <is>
          <t>DOWNLOAD</t>
        </is>
      </c>
      <c r="J283" s="149" t="n"/>
      <c r="K283" s="149" t="inlineStr">
        <is>
          <t>Unread</t>
        </is>
      </c>
      <c r="L283" s="152" t="n">
        <v>46176.92764111111</v>
      </c>
      <c r="M283" s="149" t="inlineStr">
        <is>
          <t>698cc513f0199a4713d0c5b5</t>
        </is>
      </c>
    </row>
    <row r="284">
      <c r="A284" s="149" t="inlineStr">
        <is>
          <t>Project Notos</t>
        </is>
      </c>
      <c r="B284" s="149" t="inlineStr">
        <is>
          <t>1.2.4.1</t>
        </is>
      </c>
      <c r="C284" s="17" t="inlineStr">
        <is>
          <t>Sample employment contracts</t>
        </is>
      </c>
      <c r="D284" s="25" t="n"/>
      <c r="F284" s="150">
        <f>HYPERLINK("https://app.global.datasite.com/platform/container/696652ec0dc07cc02daa26a0/documents/content/index/69ca62c7ee10c0ac4a7f98d3","Sample employment contracts")</f>
        <v/>
      </c>
      <c r="G284" s="149" t="inlineStr">
        <is>
          <t>FOLDER</t>
        </is>
      </c>
      <c r="H284" s="149" t="n"/>
      <c r="I284" s="149" t="inlineStr">
        <is>
          <t>DOWNLOAD</t>
        </is>
      </c>
      <c r="J284" s="149" t="n"/>
      <c r="K284" s="149" t="inlineStr">
        <is>
          <t>Unread</t>
        </is>
      </c>
      <c r="L284" s="152" t="n">
        <v>46176.92764111111</v>
      </c>
      <c r="M284" s="149" t="inlineStr">
        <is>
          <t>69ca62c7ee10c0ac4a7f98d3</t>
        </is>
      </c>
    </row>
    <row r="285">
      <c r="A285" t="inlineStr">
        <is>
          <t>Project Notos</t>
        </is>
      </c>
      <c r="B285" t="inlineStr">
        <is>
          <t>1.2.4.1.1</t>
        </is>
      </c>
      <c r="C285" s="15" t="inlineStr">
        <is>
          <t>IHE_01 2026-03 GLZ-gesetzl</t>
        </is>
      </c>
      <c r="D285" s="28" t="inlineStr">
        <is>
          <t>MRH</t>
        </is>
      </c>
      <c r="F285" s="151">
        <f>HYPERLINK("https://app.global.datasite.com/webviewer/?projectId=696652ec0dc07cc02daa26a0&amp;documentId=69df3ac97ff004c21af2e30e","IHE_01 2026-03 GLZ-gesetzl")</f>
        <v/>
      </c>
      <c r="G285" t="inlineStr">
        <is>
          <t>DOCUMENT</t>
        </is>
      </c>
      <c r="H285" t="inlineStr">
        <is>
          <t>pdf</t>
        </is>
      </c>
      <c r="I285" t="inlineStr">
        <is>
          <t>DOWNLOAD</t>
        </is>
      </c>
      <c r="J285" t="n">
        <v>0.36020469</v>
      </c>
      <c r="K285" t="inlineStr">
        <is>
          <t>Unread</t>
        </is>
      </c>
      <c r="L285" s="153" t="n">
        <v>46176.92764111111</v>
      </c>
      <c r="M285" t="inlineStr">
        <is>
          <t>69df3ac97ff004c21af2e30e</t>
        </is>
      </c>
    </row>
    <row r="286">
      <c r="A286" t="inlineStr">
        <is>
          <t>Project Notos</t>
        </is>
      </c>
      <c r="B286" t="inlineStr">
        <is>
          <t>1.2.4.1.2</t>
        </is>
      </c>
      <c r="C286" s="15" t="inlineStr">
        <is>
          <t>IHE_01 2026-03 All-in_HO_2MBO_3mo</t>
        </is>
      </c>
      <c r="D286" s="28" t="inlineStr">
        <is>
          <t>MRH</t>
        </is>
      </c>
      <c r="F286" s="151">
        <f>HYPERLINK("https://app.global.datasite.com/webviewer/?projectId=696652ec0dc07cc02daa26a0&amp;documentId=69df3ac97ff004c21af2e30f","IHE_01 2026-03 All-in_HO_2MBO_3mo")</f>
        <v/>
      </c>
      <c r="G286" t="inlineStr">
        <is>
          <t>DOCUMENT</t>
        </is>
      </c>
      <c r="H286" t="inlineStr">
        <is>
          <t>pdf</t>
        </is>
      </c>
      <c r="I286" t="inlineStr">
        <is>
          <t>DOWNLOAD</t>
        </is>
      </c>
      <c r="J286" t="n">
        <v>0.38076686</v>
      </c>
      <c r="K286" t="inlineStr">
        <is>
          <t>Unread</t>
        </is>
      </c>
      <c r="L286" s="153" t="n">
        <v>46176.92764111111</v>
      </c>
      <c r="M286" t="inlineStr">
        <is>
          <t>69df3ac97ff004c21af2e30f</t>
        </is>
      </c>
    </row>
    <row r="287">
      <c r="A287" t="inlineStr">
        <is>
          <t>Project Notos</t>
        </is>
      </c>
      <c r="B287" t="inlineStr">
        <is>
          <t>1.2.4.1.3</t>
        </is>
      </c>
      <c r="C287" s="15" t="inlineStr">
        <is>
          <t>IHE_01 2026-03 All-In_kein MBO_gesetzl</t>
        </is>
      </c>
      <c r="D287" s="28" t="inlineStr">
        <is>
          <t>MRH</t>
        </is>
      </c>
      <c r="F287" s="151">
        <f>HYPERLINK("https://app.global.datasite.com/webviewer/?projectId=696652ec0dc07cc02daa26a0&amp;documentId=69df3ac97ff004c21af2e30d","IHE_01 2026-03 All-In_kein MBO_gesetzl")</f>
        <v/>
      </c>
      <c r="G287" t="inlineStr">
        <is>
          <t>DOCUMENT</t>
        </is>
      </c>
      <c r="H287" t="inlineStr">
        <is>
          <t>pdf</t>
        </is>
      </c>
      <c r="I287" t="inlineStr">
        <is>
          <t>DOWNLOAD</t>
        </is>
      </c>
      <c r="J287" t="n">
        <v>0.36208534</v>
      </c>
      <c r="K287" t="inlineStr">
        <is>
          <t>Unread</t>
        </is>
      </c>
      <c r="L287" s="153" t="n">
        <v>46176.92764111111</v>
      </c>
      <c r="M287" t="inlineStr">
        <is>
          <t>69df3ac97ff004c21af2e30d</t>
        </is>
      </c>
    </row>
    <row r="288">
      <c r="A288" t="inlineStr">
        <is>
          <t>Project Notos</t>
        </is>
      </c>
      <c r="B288" t="inlineStr">
        <is>
          <t>1.2.4.1.4</t>
        </is>
      </c>
      <c r="C288" s="15" t="inlineStr">
        <is>
          <t>IHE_01_Dienstvertrag Arbeiter Schichtarbeit Vorlage</t>
        </is>
      </c>
      <c r="D288" s="28" t="inlineStr">
        <is>
          <t>MRH</t>
        </is>
      </c>
      <c r="F288" s="151">
        <f>HYPERLINK("https://app.global.datasite.com/webviewer/?projectId=696652ec0dc07cc02daa26a0&amp;documentId=69ca61daede9e731bc9185e5","IHE_01_Dienstvertrag Arbeiter Schichtarbeit Vorlage")</f>
        <v/>
      </c>
      <c r="G288" t="inlineStr">
        <is>
          <t>DOCUMENT</t>
        </is>
      </c>
      <c r="H288" t="inlineStr">
        <is>
          <t>pdf</t>
        </is>
      </c>
      <c r="I288" t="inlineStr">
        <is>
          <t>DOWNLOAD</t>
        </is>
      </c>
      <c r="J288" t="n">
        <v>0.27047729</v>
      </c>
      <c r="K288" t="inlineStr">
        <is>
          <t>Unread</t>
        </is>
      </c>
      <c r="L288" s="153" t="n">
        <v>46176.92764111111</v>
      </c>
      <c r="M288" t="inlineStr">
        <is>
          <t>69ca61daede9e731bc9185e5</t>
        </is>
      </c>
    </row>
    <row r="289">
      <c r="A289" s="149" t="inlineStr">
        <is>
          <t>Project Notos</t>
        </is>
      </c>
      <c r="B289" s="149" t="inlineStr">
        <is>
          <t>1.2.4.2</t>
        </is>
      </c>
      <c r="C289" s="17" t="inlineStr">
        <is>
          <t>Works agreements</t>
        </is>
      </c>
      <c r="D289" s="25" t="n"/>
      <c r="F289" s="150">
        <f>HYPERLINK("https://app.global.datasite.com/platform/container/696652ec0dc07cc02daa26a0/documents/content/index/69cbd17b851a3033e1310e87","Works agreements")</f>
        <v/>
      </c>
      <c r="G289" s="149" t="inlineStr">
        <is>
          <t>FOLDER</t>
        </is>
      </c>
      <c r="H289" s="149" t="n"/>
      <c r="I289" s="149" t="inlineStr">
        <is>
          <t>DOWNLOAD</t>
        </is>
      </c>
      <c r="J289" s="149" t="n"/>
      <c r="K289" s="149" t="inlineStr">
        <is>
          <t>Unread</t>
        </is>
      </c>
      <c r="L289" s="152" t="n">
        <v>46176.92764111111</v>
      </c>
      <c r="M289" s="149" t="inlineStr">
        <is>
          <t>69cbd17b851a3033e1310e87</t>
        </is>
      </c>
    </row>
    <row r="290">
      <c r="A290" t="inlineStr">
        <is>
          <t>Project Notos</t>
        </is>
      </c>
      <c r="B290" t="inlineStr">
        <is>
          <t>1.2.4.2.1</t>
        </is>
      </c>
      <c r="C290" s="15" t="inlineStr">
        <is>
          <t>IHE_Anwendung Freizeitoption aufgrund KV-Verhandlung 1.11.2015_2016-03</t>
        </is>
      </c>
      <c r="D290" s="28" t="inlineStr">
        <is>
          <t>MRH</t>
        </is>
      </c>
      <c r="E290" s="33" t="n"/>
      <c r="F290" s="151">
        <f>HYPERLINK("https://app.global.datasite.com/webviewer/?projectId=696652ec0dc07cc02daa26a0&amp;documentId=69cbd23e1937d5b42e554328","IHE_Anwendung Freizeitoption aufgrund KV-Verhandlung 1.11.2015_2016-03")</f>
        <v/>
      </c>
      <c r="G290" t="inlineStr">
        <is>
          <t>DOCUMENT</t>
        </is>
      </c>
      <c r="H290" t="inlineStr">
        <is>
          <t>pdf</t>
        </is>
      </c>
      <c r="I290" t="inlineStr">
        <is>
          <t>DOWNLOAD</t>
        </is>
      </c>
      <c r="J290" t="n">
        <v>0.34991455</v>
      </c>
      <c r="K290" t="inlineStr">
        <is>
          <t>Unread</t>
        </is>
      </c>
      <c r="L290" s="153" t="n">
        <v>46176.92764111111</v>
      </c>
      <c r="M290" t="inlineStr">
        <is>
          <t>69cbd23e1937d5b42e554328</t>
        </is>
      </c>
    </row>
    <row r="291">
      <c r="A291" t="inlineStr">
        <is>
          <t>Project Notos</t>
        </is>
      </c>
      <c r="B291" t="inlineStr">
        <is>
          <t>1.2.4.2.2</t>
        </is>
      </c>
      <c r="C291" s="15" t="inlineStr">
        <is>
          <t xml:space="preserve">IHE_Angst GLFAZ_Techniker_2016-03-07 </t>
        </is>
      </c>
      <c r="D291" s="28" t="inlineStr">
        <is>
          <t>MRH</t>
        </is>
      </c>
      <c r="E291" s="33" t="n"/>
      <c r="F291" s="151">
        <f>HYPERLINK("https://app.global.datasite.com/webviewer/?projectId=696652ec0dc07cc02daa26a0&amp;documentId=69cbd2cdf1bc84f53ceb2977","IHE_Angst GLFAZ_Techniker_2016-03-07 ")</f>
        <v/>
      </c>
      <c r="G291" t="inlineStr">
        <is>
          <t>DOCUMENT</t>
        </is>
      </c>
      <c r="H291" t="inlineStr">
        <is>
          <t>pdf</t>
        </is>
      </c>
      <c r="I291" t="inlineStr">
        <is>
          <t>DOWNLOAD</t>
        </is>
      </c>
      <c r="J291" t="n">
        <v>0.15618515</v>
      </c>
      <c r="K291" t="inlineStr">
        <is>
          <t>Unread</t>
        </is>
      </c>
      <c r="L291" s="153" t="n">
        <v>46176.92764111111</v>
      </c>
      <c r="M291" t="inlineStr">
        <is>
          <t>69cbd2cdf1bc84f53ceb2977</t>
        </is>
      </c>
    </row>
    <row r="292">
      <c r="A292" t="inlineStr">
        <is>
          <t>Project Notos</t>
        </is>
      </c>
      <c r="B292" t="inlineStr">
        <is>
          <t>1.2.4.2.3</t>
        </is>
      </c>
      <c r="C292" s="15" t="inlineStr">
        <is>
          <t>IHE_Angst GLFAZ Techniker_2024-11-21</t>
        </is>
      </c>
      <c r="D292" s="28" t="inlineStr">
        <is>
          <t>MRH</t>
        </is>
      </c>
      <c r="E292" s="33" t="n"/>
      <c r="F292" s="151">
        <f>HYPERLINK("https://app.global.datasite.com/webviewer/?projectId=696652ec0dc07cc02daa26a0&amp;documentId=69cbd31117350af3e89f8400","IHE_Angst GLFAZ Techniker_2024-11-21")</f>
        <v/>
      </c>
      <c r="G292" t="inlineStr">
        <is>
          <t>DOCUMENT</t>
        </is>
      </c>
      <c r="H292" t="inlineStr">
        <is>
          <t>pdf</t>
        </is>
      </c>
      <c r="I292" t="inlineStr">
        <is>
          <t>DOWNLOAD</t>
        </is>
      </c>
      <c r="J292" t="n">
        <v>0.12708282</v>
      </c>
      <c r="K292" t="inlineStr">
        <is>
          <t>Unread</t>
        </is>
      </c>
      <c r="L292" s="153" t="n">
        <v>46176.92764111111</v>
      </c>
      <c r="M292" t="inlineStr">
        <is>
          <t>69cbd31117350af3e89f8400</t>
        </is>
      </c>
    </row>
    <row r="293">
      <c r="A293" t="inlineStr">
        <is>
          <t>Project Notos</t>
        </is>
      </c>
      <c r="B293" t="inlineStr">
        <is>
          <t>1.2.4.2.4</t>
        </is>
      </c>
      <c r="C293" s="15" t="inlineStr">
        <is>
          <t>IHE_Angst GLAZ ADMIN_2024-11-22</t>
        </is>
      </c>
      <c r="D293" s="28" t="inlineStr">
        <is>
          <t>MRH</t>
        </is>
      </c>
      <c r="E293" s="33" t="n"/>
      <c r="F293" s="151">
        <f>HYPERLINK("https://app.global.datasite.com/webviewer/?projectId=696652ec0dc07cc02daa26a0&amp;documentId=69cbd3b7adc66d4b479b9705","IHE_Angst GLAZ ADMIN_2024-11-22")</f>
        <v/>
      </c>
      <c r="G293" t="inlineStr">
        <is>
          <t>DOCUMENT</t>
        </is>
      </c>
      <c r="H293" t="inlineStr">
        <is>
          <t>pdf</t>
        </is>
      </c>
      <c r="I293" t="inlineStr">
        <is>
          <t>DOWNLOAD</t>
        </is>
      </c>
      <c r="J293" t="n">
        <v>0.18386936</v>
      </c>
      <c r="K293" t="inlineStr">
        <is>
          <t>Unread</t>
        </is>
      </c>
      <c r="L293" s="153" t="n">
        <v>46176.92764111111</v>
      </c>
      <c r="M293" t="inlineStr">
        <is>
          <t>69cbd3b7adc66d4b479b9705</t>
        </is>
      </c>
    </row>
    <row r="294">
      <c r="A294" t="inlineStr">
        <is>
          <t>Project Notos</t>
        </is>
      </c>
      <c r="B294" t="inlineStr">
        <is>
          <t>1.2.4.2.5</t>
        </is>
      </c>
      <c r="C294" s="15" t="inlineStr">
        <is>
          <t>IHE_Arbeiter Anwendung der Freizeitoption gem. KV Fahrzeugind. vom 1.11.2014__1.4.2015 - unbefristet</t>
        </is>
      </c>
      <c r="D294" s="28" t="inlineStr">
        <is>
          <t>MRH</t>
        </is>
      </c>
      <c r="E294" s="33" t="n"/>
      <c r="F294" s="151">
        <f>HYPERLINK("https://app.global.datasite.com/webviewer/?projectId=696652ec0dc07cc02daa26a0&amp;documentId=69cbd66c851a3033e13110c4","IHE_Arbeiter Anwendung der Freizeitoption gem. KV Fahrzeugind. vom 1.11.2014__1.4.2015 - unbefristet")</f>
        <v/>
      </c>
      <c r="G294" t="inlineStr">
        <is>
          <t>DOCUMENT</t>
        </is>
      </c>
      <c r="H294" t="inlineStr">
        <is>
          <t>pdf</t>
        </is>
      </c>
      <c r="I294" t="inlineStr">
        <is>
          <t>DOWNLOAD</t>
        </is>
      </c>
      <c r="J294" t="n">
        <v>0.6730842500000001</v>
      </c>
      <c r="K294" t="inlineStr">
        <is>
          <t>Unread</t>
        </is>
      </c>
      <c r="L294" s="153" t="n">
        <v>46176.92764111111</v>
      </c>
      <c r="M294" t="inlineStr">
        <is>
          <t>69cbd66c851a3033e13110c4</t>
        </is>
      </c>
    </row>
    <row r="295">
      <c r="A295" t="inlineStr">
        <is>
          <t>Project Notos</t>
        </is>
      </c>
      <c r="B295" t="inlineStr">
        <is>
          <t>1.2.4.2.6</t>
        </is>
      </c>
      <c r="C295" s="15" t="inlineStr">
        <is>
          <t>IHE_Arbeiter Ergänzung über abweichendes Urlaubsjahr__1.1.14 - unbefristet</t>
        </is>
      </c>
      <c r="D295" s="28" t="inlineStr">
        <is>
          <t>MRH</t>
        </is>
      </c>
      <c r="E295" s="33" t="n"/>
      <c r="F295" s="151">
        <f>HYPERLINK("https://app.global.datasite.com/webviewer/?projectId=696652ec0dc07cc02daa26a0&amp;documentId=69cbd716d8173ff1179e69b8","IHE_Arbeiter Ergänzung über abweichendes Urlaubsjahr__1.1.14 - unbefristet")</f>
        <v/>
      </c>
      <c r="G295" t="inlineStr">
        <is>
          <t>DOCUMENT</t>
        </is>
      </c>
      <c r="H295" t="inlineStr">
        <is>
          <t>pdf</t>
        </is>
      </c>
      <c r="I295" t="inlineStr">
        <is>
          <t>DOWNLOAD</t>
        </is>
      </c>
      <c r="J295" t="n">
        <v>0.11516571</v>
      </c>
      <c r="K295" t="inlineStr">
        <is>
          <t>Unread</t>
        </is>
      </c>
      <c r="L295" s="153" t="n">
        <v>46176.92764111111</v>
      </c>
      <c r="M295" t="inlineStr">
        <is>
          <t>69cbd716d8173ff1179e69b8</t>
        </is>
      </c>
    </row>
    <row r="296">
      <c r="A296" t="inlineStr">
        <is>
          <t>Project Notos</t>
        </is>
      </c>
      <c r="B296" t="inlineStr">
        <is>
          <t>1.2.4.2.7</t>
        </is>
      </c>
      <c r="C296" s="15" t="inlineStr">
        <is>
          <t>IHE_Einarbeiten 13. + 14. August</t>
        </is>
      </c>
      <c r="D296" s="28" t="inlineStr">
        <is>
          <t>MRH</t>
        </is>
      </c>
      <c r="E296" s="33" t="n"/>
      <c r="F296" s="151">
        <f>HYPERLINK("https://app.global.datasite.com/webviewer/?projectId=696652ec0dc07cc02daa26a0&amp;documentId=69cbd82bcc0f2dc5e8046dc6","IHE_Einarbeiten 13. + 14. August")</f>
        <v/>
      </c>
      <c r="G296" t="inlineStr">
        <is>
          <t>DOCUMENT</t>
        </is>
      </c>
      <c r="H296" t="inlineStr">
        <is>
          <t>pdf</t>
        </is>
      </c>
      <c r="I296" t="inlineStr">
        <is>
          <t>DOWNLOAD</t>
        </is>
      </c>
      <c r="J296" t="n">
        <v>0.21475601</v>
      </c>
      <c r="K296" t="inlineStr">
        <is>
          <t>Unread</t>
        </is>
      </c>
      <c r="L296" s="153" t="n">
        <v>46176.92764111111</v>
      </c>
      <c r="M296" t="inlineStr">
        <is>
          <t>69cbd82bcc0f2dc5e8046dc6</t>
        </is>
      </c>
    </row>
    <row r="297">
      <c r="A297" t="inlineStr">
        <is>
          <t>Project Notos</t>
        </is>
      </c>
      <c r="B297" t="inlineStr">
        <is>
          <t>1.2.4.2.8</t>
        </is>
      </c>
      <c r="C297" s="15" t="inlineStr">
        <is>
          <t>IHE_Einarbeiten 17. Juni + 31. Oktober 2022</t>
        </is>
      </c>
      <c r="D297" s="28" t="inlineStr">
        <is>
          <t>MRH</t>
        </is>
      </c>
      <c r="E297" s="33" t="n"/>
      <c r="F297" s="151">
        <f>HYPERLINK("https://app.global.datasite.com/webviewer/?projectId=696652ec0dc07cc02daa26a0&amp;documentId=69cbd84fd82b3d6642f2b107","IHE_Einarbeiten 17. Juni + 31. Oktober 2022")</f>
        <v/>
      </c>
      <c r="G297" t="inlineStr">
        <is>
          <t>DOCUMENT</t>
        </is>
      </c>
      <c r="H297" t="inlineStr">
        <is>
          <t>pdf</t>
        </is>
      </c>
      <c r="I297" t="inlineStr">
        <is>
          <t>DOWNLOAD</t>
        </is>
      </c>
      <c r="J297" t="n">
        <v>2.29762649</v>
      </c>
      <c r="K297" t="inlineStr">
        <is>
          <t>Unread</t>
        </is>
      </c>
      <c r="L297" s="153" t="n">
        <v>46176.92764111111</v>
      </c>
      <c r="M297" t="inlineStr">
        <is>
          <t>69cbd84fd82b3d6642f2b107</t>
        </is>
      </c>
    </row>
    <row r="298">
      <c r="A298" t="inlineStr">
        <is>
          <t>Project Notos</t>
        </is>
      </c>
      <c r="B298" t="inlineStr">
        <is>
          <t>1.2.4.2.9</t>
        </is>
      </c>
      <c r="C298" s="15" t="inlineStr">
        <is>
          <t>IHE_Einarbeiten Fenstertag 27.05.2022</t>
        </is>
      </c>
      <c r="D298" s="28" t="inlineStr">
        <is>
          <t>MRH</t>
        </is>
      </c>
      <c r="E298" s="33" t="n"/>
      <c r="F298" s="151">
        <f>HYPERLINK("https://app.global.datasite.com/webviewer/?projectId=696652ec0dc07cc02daa26a0&amp;documentId=69cbd8cacc0f2dc5e8046e02","IHE_Einarbeiten Fenstertag 27.05.2022")</f>
        <v/>
      </c>
      <c r="G298" t="inlineStr">
        <is>
          <t>DOCUMENT</t>
        </is>
      </c>
      <c r="H298" t="inlineStr">
        <is>
          <t>pdf</t>
        </is>
      </c>
      <c r="I298" t="inlineStr">
        <is>
          <t>DOWNLOAD</t>
        </is>
      </c>
      <c r="J298" t="n">
        <v>1.08959484</v>
      </c>
      <c r="K298" t="inlineStr">
        <is>
          <t>Unread</t>
        </is>
      </c>
      <c r="L298" s="153" t="n">
        <v>46176.92764111111</v>
      </c>
      <c r="M298" t="inlineStr">
        <is>
          <t>69cbd8cacc0f2dc5e8046e02</t>
        </is>
      </c>
    </row>
    <row r="299">
      <c r="A299" t="inlineStr">
        <is>
          <t>Project Notos</t>
        </is>
      </c>
      <c r="B299" t="inlineStr">
        <is>
          <t>1.2.4.2.10</t>
        </is>
      </c>
      <c r="C299" s="15" t="inlineStr">
        <is>
          <t>IHE_Hausordnung__1.8.2010 - unbefristet</t>
        </is>
      </c>
      <c r="D299" s="28" t="inlineStr">
        <is>
          <t>MRH</t>
        </is>
      </c>
      <c r="E299" s="33" t="n"/>
      <c r="F299" s="151">
        <f>HYPERLINK("https://app.global.datasite.com/webviewer/?projectId=696652ec0dc07cc02daa26a0&amp;documentId=69cbd8ee8bca9003549ac8a5","IHE_Hausordnung__1.8.2010 - unbefristet")</f>
        <v/>
      </c>
      <c r="G299" t="inlineStr">
        <is>
          <t>DOCUMENT</t>
        </is>
      </c>
      <c r="H299" t="inlineStr">
        <is>
          <t>pdf</t>
        </is>
      </c>
      <c r="I299" t="inlineStr">
        <is>
          <t>DOWNLOAD</t>
        </is>
      </c>
      <c r="J299" t="n">
        <v>2.87254714</v>
      </c>
      <c r="K299" t="inlineStr">
        <is>
          <t>Unread</t>
        </is>
      </c>
      <c r="L299" s="153" t="n">
        <v>46176.92764111111</v>
      </c>
      <c r="M299" t="inlineStr">
        <is>
          <t>69cbd8ee8bca9003549ac8a5</t>
        </is>
      </c>
    </row>
    <row r="300">
      <c r="A300" t="inlineStr">
        <is>
          <t>Project Notos</t>
        </is>
      </c>
      <c r="B300" t="inlineStr">
        <is>
          <t>1.2.4.2.11</t>
        </is>
      </c>
      <c r="C300" s="15" t="inlineStr">
        <is>
          <t>IHE_Leiharbeiter2007_lfd_gültig</t>
        </is>
      </c>
      <c r="D300" s="28" t="inlineStr">
        <is>
          <t>MRH</t>
        </is>
      </c>
      <c r="E300" s="33" t="n"/>
      <c r="F300" s="151">
        <f>HYPERLINK("https://app.global.datasite.com/webviewer/?projectId=696652ec0dc07cc02daa26a0&amp;documentId=69cbd9108afd4a56cbcc26f6","IHE_Leiharbeiter2007_lfd_gültig")</f>
        <v/>
      </c>
      <c r="G300" t="inlineStr">
        <is>
          <t>DOCUMENT</t>
        </is>
      </c>
      <c r="H300" t="inlineStr">
        <is>
          <t>pdf</t>
        </is>
      </c>
      <c r="I300" t="inlineStr">
        <is>
          <t>DOWNLOAD</t>
        </is>
      </c>
      <c r="J300" t="n">
        <v>7.1438713</v>
      </c>
      <c r="K300" t="inlineStr">
        <is>
          <t>Unread</t>
        </is>
      </c>
      <c r="L300" s="153" t="n">
        <v>46176.92764111111</v>
      </c>
      <c r="M300" t="inlineStr">
        <is>
          <t>69cbd9108afd4a56cbcc26f6</t>
        </is>
      </c>
    </row>
    <row r="301">
      <c r="A301" t="inlineStr">
        <is>
          <t>Project Notos</t>
        </is>
      </c>
      <c r="B301" t="inlineStr">
        <is>
          <t>1.2.4.2.12</t>
        </is>
      </c>
      <c r="C301" s="15" t="inlineStr">
        <is>
          <t>IHE_Schichtzeiten neu__1.4.2013 - unbefristet</t>
        </is>
      </c>
      <c r="D301" s="28" t="inlineStr">
        <is>
          <t>MRH</t>
        </is>
      </c>
      <c r="E301" s="33" t="n"/>
      <c r="F301" s="151">
        <f>HYPERLINK("https://app.global.datasite.com/webviewer/?projectId=696652ec0dc07cc02daa26a0&amp;documentId=69cbd977f823513bf7f7008a","IHE_Schichtzeiten neu__1.4.2013 - unbefristet")</f>
        <v/>
      </c>
      <c r="G301" t="inlineStr">
        <is>
          <t>DOCUMENT</t>
        </is>
      </c>
      <c r="H301" t="inlineStr">
        <is>
          <t>pdf</t>
        </is>
      </c>
      <c r="I301" t="inlineStr">
        <is>
          <t>DOWNLOAD</t>
        </is>
      </c>
      <c r="J301" t="n">
        <v>0.55183315</v>
      </c>
      <c r="K301" t="inlineStr">
        <is>
          <t>Unread</t>
        </is>
      </c>
      <c r="L301" s="153" t="n">
        <v>46176.92764111111</v>
      </c>
      <c r="M301" t="inlineStr">
        <is>
          <t>69cbd977f823513bf7f7008a</t>
        </is>
      </c>
    </row>
    <row r="302">
      <c r="A302" t="inlineStr">
        <is>
          <t>Project Notos</t>
        </is>
      </c>
      <c r="B302" t="inlineStr">
        <is>
          <t>1.2.4.2.13</t>
        </is>
      </c>
      <c r="C302" s="15" t="inlineStr">
        <is>
          <t>IHE_SEG-Zulagen__1.4.2014 - unbefristet</t>
        </is>
      </c>
      <c r="D302" s="28" t="inlineStr">
        <is>
          <t>MRH</t>
        </is>
      </c>
      <c r="E302" s="33" t="n"/>
      <c r="F302" s="151">
        <f>HYPERLINK("https://app.global.datasite.com/webviewer/?projectId=696652ec0dc07cc02daa26a0&amp;documentId=69cbd9921937d5b42e5544f9","IHE_SEG-Zulagen__1.4.2014 - unbefristet")</f>
        <v/>
      </c>
      <c r="G302" t="inlineStr">
        <is>
          <t>DOCUMENT</t>
        </is>
      </c>
      <c r="H302" t="inlineStr">
        <is>
          <t>pdf</t>
        </is>
      </c>
      <c r="I302" t="inlineStr">
        <is>
          <t>DOWNLOAD</t>
        </is>
      </c>
      <c r="J302" t="n">
        <v>0.35729598</v>
      </c>
      <c r="K302" t="inlineStr">
        <is>
          <t>Unread</t>
        </is>
      </c>
      <c r="L302" s="153" t="n">
        <v>46176.92764111111</v>
      </c>
      <c r="M302" t="inlineStr">
        <is>
          <t>69cbd9921937d5b42e5544f9</t>
        </is>
      </c>
    </row>
    <row r="303">
      <c r="A303" t="inlineStr">
        <is>
          <t>Project Notos</t>
        </is>
      </c>
      <c r="B303" t="inlineStr">
        <is>
          <t>1.2.4.2.14</t>
        </is>
      </c>
      <c r="C303" s="15" t="inlineStr">
        <is>
          <t>IHE_Unterschrieben BV Umwandlung KKSP</t>
        </is>
      </c>
      <c r="D303" s="28" t="inlineStr">
        <is>
          <t>MRH</t>
        </is>
      </c>
      <c r="E303" s="33" t="n"/>
      <c r="F303" s="151">
        <f>HYPERLINK("https://app.global.datasite.com/webviewer/?projectId=696652ec0dc07cc02daa26a0&amp;documentId=69cbd9b5c5c018b6482bb0f4","IHE_Unterschrieben BV Umwandlung KKSP")</f>
        <v/>
      </c>
      <c r="G303" t="inlineStr">
        <is>
          <t>DOCUMENT</t>
        </is>
      </c>
      <c r="H303" t="inlineStr">
        <is>
          <t>pdf</t>
        </is>
      </c>
      <c r="I303" t="inlineStr">
        <is>
          <t>DOWNLOAD</t>
        </is>
      </c>
      <c r="J303" t="n">
        <v>0.96213436</v>
      </c>
      <c r="K303" t="inlineStr">
        <is>
          <t>Unread</t>
        </is>
      </c>
      <c r="L303" s="153" t="n">
        <v>46176.92764111111</v>
      </c>
      <c r="M303" t="inlineStr">
        <is>
          <t>69cbd9b5c5c018b6482bb0f4</t>
        </is>
      </c>
    </row>
    <row r="304">
      <c r="A304" t="inlineStr">
        <is>
          <t>Project Notos</t>
        </is>
      </c>
      <c r="B304" t="inlineStr">
        <is>
          <t>1.2.4.2.15</t>
        </is>
      </c>
      <c r="C304" s="15" t="inlineStr">
        <is>
          <t>IHE_BV zum Interessenausgleich 2024</t>
        </is>
      </c>
      <c r="D304" s="28" t="inlineStr">
        <is>
          <t>MRH</t>
        </is>
      </c>
      <c r="E304" s="33" t="n"/>
      <c r="F304" s="151">
        <f>HYPERLINK("https://app.global.datasite.com/webviewer/?projectId=696652ec0dc07cc02daa26a0&amp;documentId=69cbdae7851a3033e13111fc","IHE_BV zum Interessenausgleich 2024")</f>
        <v/>
      </c>
      <c r="G304" t="inlineStr">
        <is>
          <t>DOCUMENT</t>
        </is>
      </c>
      <c r="H304" t="inlineStr">
        <is>
          <t>pdf</t>
        </is>
      </c>
      <c r="I304" t="inlineStr">
        <is>
          <t>DOWNLOAD</t>
        </is>
      </c>
      <c r="J304" t="n">
        <v>0.63659477</v>
      </c>
      <c r="K304" t="inlineStr">
        <is>
          <t>Unread</t>
        </is>
      </c>
      <c r="L304" s="153" t="n">
        <v>46176.92764111111</v>
      </c>
      <c r="M304" t="inlineStr">
        <is>
          <t>69cbdae7851a3033e13111fc</t>
        </is>
      </c>
    </row>
    <row r="305">
      <c r="A305" t="inlineStr">
        <is>
          <t>Project Notos</t>
        </is>
      </c>
      <c r="B305" t="inlineStr">
        <is>
          <t>1.2.4.2.16</t>
        </is>
      </c>
      <c r="C305" s="15" t="inlineStr">
        <is>
          <t>IHE_BV zum Interessensausgleich 2023</t>
        </is>
      </c>
      <c r="D305" s="28" t="inlineStr">
        <is>
          <t>MRH</t>
        </is>
      </c>
      <c r="E305" s="33" t="n"/>
      <c r="F305" s="151">
        <f>HYPERLINK("https://app.global.datasite.com/webviewer/?projectId=696652ec0dc07cc02daa26a0&amp;documentId=69cbdaffce283fccb51c23b3","IHE_BV zum Interessensausgleich 2023")</f>
        <v/>
      </c>
      <c r="G305" t="inlineStr">
        <is>
          <t>DOCUMENT</t>
        </is>
      </c>
      <c r="H305" t="inlineStr">
        <is>
          <t>pdf</t>
        </is>
      </c>
      <c r="I305" t="inlineStr">
        <is>
          <t>DOWNLOAD</t>
        </is>
      </c>
      <c r="J305" t="n">
        <v>0.45649242</v>
      </c>
      <c r="K305" t="inlineStr">
        <is>
          <t>Unread</t>
        </is>
      </c>
      <c r="L305" s="153" t="n">
        <v>46176.92764111111</v>
      </c>
      <c r="M305" t="inlineStr">
        <is>
          <t>69cbdaffce283fccb51c23b3</t>
        </is>
      </c>
    </row>
    <row r="306">
      <c r="A306" t="inlineStr">
        <is>
          <t>Project Notos</t>
        </is>
      </c>
      <c r="B306" t="inlineStr">
        <is>
          <t>1.2.4.2.17</t>
        </is>
      </c>
      <c r="C306" s="15" t="inlineStr">
        <is>
          <t>IHE_EV zum Interessensausgleich 2025</t>
        </is>
      </c>
      <c r="D306" s="28" t="inlineStr">
        <is>
          <t>MRH</t>
        </is>
      </c>
      <c r="E306" s="33" t="n"/>
      <c r="F306" s="151">
        <f>HYPERLINK("https://app.global.datasite.com/webviewer/?projectId=696652ec0dc07cc02daa26a0&amp;documentId=69cbdb8cd8173ff1179e6ad4","IHE_EV zum Interessensausgleich 2025")</f>
        <v/>
      </c>
      <c r="G306" t="inlineStr">
        <is>
          <t>DOCUMENT</t>
        </is>
      </c>
      <c r="H306" t="inlineStr">
        <is>
          <t>pdf</t>
        </is>
      </c>
      <c r="I306" t="inlineStr">
        <is>
          <t>DOWNLOAD</t>
        </is>
      </c>
      <c r="J306" t="n">
        <v>0.29728126</v>
      </c>
      <c r="K306" t="inlineStr">
        <is>
          <t>Unread</t>
        </is>
      </c>
      <c r="L306" s="153" t="n">
        <v>46176.92764111111</v>
      </c>
      <c r="M306" t="inlineStr">
        <is>
          <t>69cbdb8cd8173ff1179e6ad4</t>
        </is>
      </c>
    </row>
    <row r="307">
      <c r="A307" t="inlineStr">
        <is>
          <t>Project Notos</t>
        </is>
      </c>
      <c r="B307" t="inlineStr">
        <is>
          <t>1.2.4.2.18</t>
        </is>
      </c>
      <c r="C307" s="15" t="inlineStr">
        <is>
          <t>IHE_Sozialplan 2021</t>
        </is>
      </c>
      <c r="D307" s="28" t="inlineStr">
        <is>
          <t>MRH</t>
        </is>
      </c>
      <c r="E307" s="33" t="n"/>
      <c r="F307" s="151">
        <f>HYPERLINK("https://app.global.datasite.com/webviewer/?projectId=696652ec0dc07cc02daa26a0&amp;documentId=69cbdbba5bd753d4396908d2","IHE_Sozialplan 2021")</f>
        <v/>
      </c>
      <c r="G307" t="inlineStr">
        <is>
          <t>DOCUMENT</t>
        </is>
      </c>
      <c r="H307" t="inlineStr">
        <is>
          <t>pdf</t>
        </is>
      </c>
      <c r="I307" t="inlineStr">
        <is>
          <t>DOWNLOAD</t>
        </is>
      </c>
      <c r="J307" t="n">
        <v>9.89410591</v>
      </c>
      <c r="K307" t="inlineStr">
        <is>
          <t>Unread</t>
        </is>
      </c>
      <c r="L307" s="153" t="n">
        <v>46176.92764111111</v>
      </c>
      <c r="M307" t="inlineStr">
        <is>
          <t>69cbdbba5bd753d4396908d2</t>
        </is>
      </c>
    </row>
    <row r="308">
      <c r="A308" t="inlineStr">
        <is>
          <t>Project Notos</t>
        </is>
      </c>
      <c r="B308" t="inlineStr">
        <is>
          <t>1.2.4.3</t>
        </is>
      </c>
      <c r="C308" s="15" t="inlineStr">
        <is>
          <t>IHE Allianz Mitarbeitervorsorge _11.12.2002</t>
        </is>
      </c>
      <c r="D308" s="28" t="inlineStr">
        <is>
          <t>MRH</t>
        </is>
      </c>
      <c r="E308" s="33" t="n"/>
      <c r="F308" s="151">
        <f>HYPERLINK("https://app.global.datasite.com/webviewer/?projectId=696652ec0dc07cc02daa26a0&amp;documentId=69ca818a5bd753d43967ffad","IHE Allianz Mitarbeitervorsorge _11.12.2002")</f>
        <v/>
      </c>
      <c r="G308" t="inlineStr">
        <is>
          <t>DOCUMENT</t>
        </is>
      </c>
      <c r="H308" t="inlineStr">
        <is>
          <t>pdf</t>
        </is>
      </c>
      <c r="I308" t="inlineStr">
        <is>
          <t>DOWNLOAD</t>
        </is>
      </c>
      <c r="J308" t="n">
        <v>0.5231781</v>
      </c>
      <c r="K308" t="inlineStr">
        <is>
          <t>Unread</t>
        </is>
      </c>
      <c r="L308" s="153" t="n">
        <v>46176.92764111111</v>
      </c>
      <c r="M308" t="inlineStr">
        <is>
          <t>69ca818a5bd753d43967ffad</t>
        </is>
      </c>
    </row>
    <row r="309">
      <c r="A309" t="inlineStr">
        <is>
          <t>Project Notos</t>
        </is>
      </c>
      <c r="B309" t="inlineStr">
        <is>
          <t>1.2.4.4</t>
        </is>
      </c>
      <c r="C309" s="15" t="inlineStr">
        <is>
          <t>IHE_MBO Vereinbarung_Passage Arbeitsvertrag</t>
        </is>
      </c>
      <c r="D309" s="28" t="inlineStr">
        <is>
          <t>MRH</t>
        </is>
      </c>
      <c r="E309" s="33" t="n"/>
      <c r="F309" s="151">
        <f>HYPERLINK("https://app.global.datasite.com/webviewer/?projectId=696652ec0dc07cc02daa26a0&amp;documentId=69ca8223ce283fccb51b8fec","IHE_MBO Vereinbarung_Passage Arbeitsvertrag")</f>
        <v/>
      </c>
      <c r="G309" t="inlineStr">
        <is>
          <t>DOCUMENT</t>
        </is>
      </c>
      <c r="H309" t="inlineStr">
        <is>
          <t>pdf</t>
        </is>
      </c>
      <c r="I309" t="inlineStr">
        <is>
          <t>DOWNLOAD</t>
        </is>
      </c>
      <c r="J309" t="n">
        <v>0.0946989</v>
      </c>
      <c r="K309" t="inlineStr">
        <is>
          <t>Unread</t>
        </is>
      </c>
      <c r="L309" s="153" t="n">
        <v>46176.92764111111</v>
      </c>
      <c r="M309" t="inlineStr">
        <is>
          <t>69ca8223ce283fccb51b8fec</t>
        </is>
      </c>
    </row>
    <row r="310">
      <c r="A310" s="149" t="inlineStr">
        <is>
          <t>Project Notos</t>
        </is>
      </c>
      <c r="B310" s="149" t="inlineStr">
        <is>
          <t>1.2.4.5</t>
        </is>
      </c>
      <c r="C310" s="17" t="inlineStr">
        <is>
          <t>List of personnel</t>
        </is>
      </c>
      <c r="D310" s="25" t="n"/>
      <c r="F310" s="150">
        <f>HYPERLINK("https://app.global.datasite.com/platform/container/696652ec0dc07cc02daa26a0/documents/content/index/69cd0336d4ee2114935c5db2","List of personnel")</f>
        <v/>
      </c>
      <c r="G310" s="149" t="inlineStr">
        <is>
          <t>FOLDER</t>
        </is>
      </c>
      <c r="H310" s="149" t="n"/>
      <c r="I310" s="149" t="inlineStr">
        <is>
          <t>DOWNLOAD</t>
        </is>
      </c>
      <c r="J310" s="149" t="n"/>
      <c r="K310" s="149" t="inlineStr">
        <is>
          <t>Unread</t>
        </is>
      </c>
      <c r="L310" s="152" t="n">
        <v>46176.92764111111</v>
      </c>
      <c r="M310" s="149" t="inlineStr">
        <is>
          <t>69cd0336d4ee2114935c5db2</t>
        </is>
      </c>
    </row>
    <row r="311">
      <c r="A311" s="3" t="inlineStr">
        <is>
          <t>Project Notos</t>
        </is>
      </c>
      <c r="B311" s="3" t="inlineStr">
        <is>
          <t>1.2.4.5.1</t>
        </is>
      </c>
      <c r="C311" s="18" t="inlineStr">
        <is>
          <t>To come</t>
        </is>
      </c>
      <c r="D311" s="26" t="n"/>
      <c r="F311" s="3" t="inlineStr">
        <is>
          <t>To come</t>
        </is>
      </c>
      <c r="G311" s="3" t="inlineStr">
        <is>
          <t>PLACEHOLDER</t>
        </is>
      </c>
      <c r="H311" s="3" t="n"/>
      <c r="I311" s="3" t="inlineStr">
        <is>
          <t>DOWNLOAD</t>
        </is>
      </c>
      <c r="J311" s="3" t="n"/>
      <c r="K311" s="3" t="inlineStr">
        <is>
          <t>Unread</t>
        </is>
      </c>
      <c r="L311" s="9" t="n">
        <v>46176.92764111111</v>
      </c>
      <c r="M311" s="3" t="inlineStr">
        <is>
          <t>69f252645e78b8bb3d6e9ad9</t>
        </is>
      </c>
    </row>
    <row r="312">
      <c r="A312" s="149" t="inlineStr">
        <is>
          <t>Project Notos</t>
        </is>
      </c>
      <c r="B312" s="149" t="inlineStr">
        <is>
          <t>1.2.5</t>
        </is>
      </c>
      <c r="C312" s="17" t="inlineStr">
        <is>
          <t>Patents</t>
        </is>
      </c>
      <c r="D312" s="25" t="n"/>
      <c r="F312" s="150">
        <f>HYPERLINK("https://app.global.datasite.com/platform/container/696652ec0dc07cc02daa26a0/documents/content/index/69bd4e994c25e35a4fef74da","Patents")</f>
        <v/>
      </c>
      <c r="G312" s="149" t="inlineStr">
        <is>
          <t>FOLDER</t>
        </is>
      </c>
      <c r="H312" s="149" t="n"/>
      <c r="I312" s="149" t="inlineStr">
        <is>
          <t>DOWNLOAD</t>
        </is>
      </c>
      <c r="J312" s="149" t="n"/>
      <c r="K312" s="149" t="inlineStr">
        <is>
          <t>Unread</t>
        </is>
      </c>
      <c r="L312" s="152" t="n">
        <v>46176.92764111111</v>
      </c>
      <c r="M312" s="149" t="inlineStr">
        <is>
          <t>69bd4e994c25e35a4fef74da</t>
        </is>
      </c>
    </row>
    <row r="313">
      <c r="A313" s="34" t="inlineStr">
        <is>
          <t>Project Notos</t>
        </is>
      </c>
      <c r="B313" s="34" t="inlineStr">
        <is>
          <t>1.2.5.1</t>
        </is>
      </c>
      <c r="C313" s="37" t="inlineStr">
        <is>
          <t>IHE_patents</t>
        </is>
      </c>
      <c r="D313" s="22" t="inlineStr">
        <is>
          <t>HBU / FDE</t>
        </is>
      </c>
      <c r="F313" s="151">
        <f>HYPERLINK("https://app.global.datasite.com/webviewer/?projectId=696652ec0dc07cc02daa26a0&amp;documentId=69bd25d1de0718c1a05fd4d3","IHE_patents")</f>
        <v/>
      </c>
      <c r="G313" t="inlineStr">
        <is>
          <t>DOCUMENT</t>
        </is>
      </c>
      <c r="H313" t="inlineStr">
        <is>
          <t>xlsx</t>
        </is>
      </c>
      <c r="I313" t="inlineStr">
        <is>
          <t>DOWNLOAD</t>
        </is>
      </c>
      <c r="J313" t="n">
        <v>0.01310253</v>
      </c>
      <c r="K313" t="inlineStr">
        <is>
          <t>Unread</t>
        </is>
      </c>
      <c r="L313" s="153" t="n">
        <v>46176.92764111111</v>
      </c>
      <c r="M313" t="inlineStr">
        <is>
          <t>69bd25d1de0718c1a05fd4d3</t>
        </is>
      </c>
    </row>
    <row r="314">
      <c r="A314" s="34" t="inlineStr">
        <is>
          <t>Project Notos</t>
        </is>
      </c>
      <c r="B314" s="34" t="inlineStr">
        <is>
          <t>1.2.5.2</t>
        </is>
      </c>
      <c r="C314" s="37" t="inlineStr">
        <is>
          <t>IHE_patent purchase agreement estra_250228</t>
        </is>
      </c>
      <c r="D314" s="22" t="inlineStr">
        <is>
          <t>HBU / FDE</t>
        </is>
      </c>
      <c r="F314" s="151">
        <f>HYPERLINK("https://app.global.datasite.com/webviewer/?projectId=696652ec0dc07cc02daa26a0&amp;documentId=69bd2103d52e3d6573129a7c","IHE_patent purchase agreement estra_250228")</f>
        <v/>
      </c>
      <c r="G314" t="inlineStr">
        <is>
          <t>DOCUMENT</t>
        </is>
      </c>
      <c r="H314" t="inlineStr">
        <is>
          <t>pdf</t>
        </is>
      </c>
      <c r="I314" t="inlineStr">
        <is>
          <t>DOWNLOAD</t>
        </is>
      </c>
      <c r="J314" t="n">
        <v>0.78133201</v>
      </c>
      <c r="K314" t="inlineStr">
        <is>
          <t>Unread</t>
        </is>
      </c>
      <c r="L314" s="153" t="n">
        <v>46176.92764111111</v>
      </c>
      <c r="M314" t="inlineStr">
        <is>
          <t>69bd2103d52e3d6573129a7c</t>
        </is>
      </c>
    </row>
    <row r="315">
      <c r="A315" s="149" t="inlineStr">
        <is>
          <t>Project Notos</t>
        </is>
      </c>
      <c r="B315" s="149" t="inlineStr">
        <is>
          <t>1.2.6</t>
        </is>
      </c>
      <c r="C315" s="17" t="inlineStr">
        <is>
          <t>Kottingbrunn plant</t>
        </is>
      </c>
      <c r="D315" s="25" t="n"/>
      <c r="F315" s="150">
        <f>HYPERLINK("https://app.global.datasite.com/platform/container/696652ec0dc07cc02daa26a0/documents/content/index/69bd4e1ad52e3d657312cad3","Kottingbrunn plant")</f>
        <v/>
      </c>
      <c r="G315" s="149" t="inlineStr">
        <is>
          <t>FOLDER</t>
        </is>
      </c>
      <c r="H315" s="149" t="n"/>
      <c r="I315" s="149" t="inlineStr">
        <is>
          <t>DOWNLOAD</t>
        </is>
      </c>
      <c r="J315" s="149" t="n"/>
      <c r="K315" s="149" t="inlineStr">
        <is>
          <t>Unread</t>
        </is>
      </c>
      <c r="L315" s="152" t="n">
        <v>46176.92764111111</v>
      </c>
      <c r="M315" s="149" t="inlineStr">
        <is>
          <t>69bd4e1ad52e3d657312cad3</t>
        </is>
      </c>
    </row>
    <row r="316">
      <c r="A316" s="149" t="inlineStr">
        <is>
          <t>Project Notos</t>
        </is>
      </c>
      <c r="B316" s="149" t="inlineStr">
        <is>
          <t>1.2.6.1</t>
        </is>
      </c>
      <c r="C316" s="17" t="inlineStr">
        <is>
          <t>Operating permits</t>
        </is>
      </c>
      <c r="D316" s="25" t="n"/>
      <c r="F316" s="150">
        <f>HYPERLINK("https://app.global.datasite.com/platform/container/696652ec0dc07cc02daa26a0/documents/content/index/69ca5b6bd71dfed7bae82c2e","Operating permits")</f>
        <v/>
      </c>
      <c r="G316" s="149" t="inlineStr">
        <is>
          <t>FOLDER</t>
        </is>
      </c>
      <c r="H316" s="149" t="n"/>
      <c r="I316" s="149" t="inlineStr">
        <is>
          <t>DOWNLOAD</t>
        </is>
      </c>
      <c r="J316" s="149" t="n"/>
      <c r="K316" s="149" t="inlineStr">
        <is>
          <t>Unread</t>
        </is>
      </c>
      <c r="L316" s="152" t="n">
        <v>46176.92764111111</v>
      </c>
      <c r="M316" s="149" t="inlineStr">
        <is>
          <t>69ca5b6bd71dfed7bae82c2e</t>
        </is>
      </c>
    </row>
    <row r="317">
      <c r="A317" t="inlineStr">
        <is>
          <t>Project Notos</t>
        </is>
      </c>
      <c r="B317" t="inlineStr">
        <is>
          <t>1.2.6.1.1</t>
        </is>
      </c>
      <c r="C317" s="15" t="inlineStr">
        <is>
          <t>IHE_2008_BNW2-BA-08124_001, BO-0866_001, WA-08202_001</t>
        </is>
      </c>
      <c r="D317" s="27" t="inlineStr">
        <is>
          <t>ANI / ANG</t>
        </is>
      </c>
      <c r="F317" s="151">
        <f>HYPERLINK("https://app.global.datasite.com/webviewer/?projectId=696652ec0dc07cc02daa26a0&amp;documentId=69ca5b86ce283fccb51b7ffa","IHE_2008_BNW2-BA-08124_001, BO-0866_001, WA-08202_001")</f>
        <v/>
      </c>
      <c r="G317" t="inlineStr">
        <is>
          <t>DOCUMENT</t>
        </is>
      </c>
      <c r="H317" t="inlineStr">
        <is>
          <t>pdf</t>
        </is>
      </c>
      <c r="I317" t="inlineStr">
        <is>
          <t>DOWNLOAD</t>
        </is>
      </c>
      <c r="J317" t="n">
        <v>0.20383453</v>
      </c>
      <c r="K317" t="inlineStr">
        <is>
          <t>Unread</t>
        </is>
      </c>
      <c r="L317" s="153" t="n">
        <v>46176.92764111111</v>
      </c>
      <c r="M317" t="inlineStr">
        <is>
          <t>69ca5b86ce283fccb51b7ffa</t>
        </is>
      </c>
    </row>
    <row r="318">
      <c r="A318" t="inlineStr">
        <is>
          <t>Project Notos</t>
        </is>
      </c>
      <c r="B318" t="inlineStr">
        <is>
          <t>1.2.6.1.2</t>
        </is>
      </c>
      <c r="C318" s="15" t="inlineStr">
        <is>
          <t>IHE_2009_BNW2-BA-08124_002, BO-0866_002</t>
        </is>
      </c>
      <c r="D318" s="27" t="inlineStr">
        <is>
          <t>ANI / ANG</t>
        </is>
      </c>
      <c r="F318" s="151">
        <f>HYPERLINK("https://app.global.datasite.com/webviewer/?projectId=696652ec0dc07cc02daa26a0&amp;documentId=69ca5b86ce283fccb51b7ffc","IHE_2009_BNW2-BA-08124_002, BO-0866_002")</f>
        <v/>
      </c>
      <c r="G318" t="inlineStr">
        <is>
          <t>DOCUMENT</t>
        </is>
      </c>
      <c r="H318" t="inlineStr">
        <is>
          <t>pdf</t>
        </is>
      </c>
      <c r="I318" t="inlineStr">
        <is>
          <t>DOWNLOAD</t>
        </is>
      </c>
      <c r="J318" t="n">
        <v>6.23359775</v>
      </c>
      <c r="K318" t="inlineStr">
        <is>
          <t>Unread</t>
        </is>
      </c>
      <c r="L318" s="153" t="n">
        <v>46176.92764111111</v>
      </c>
      <c r="M318" t="inlineStr">
        <is>
          <t>69ca5b86ce283fccb51b7ffc</t>
        </is>
      </c>
    </row>
    <row r="319">
      <c r="A319" t="inlineStr">
        <is>
          <t>Project Notos</t>
        </is>
      </c>
      <c r="B319" t="inlineStr">
        <is>
          <t>1.2.6.1.3</t>
        </is>
      </c>
      <c r="C319" s="15" t="inlineStr">
        <is>
          <t>IHE_2016_ BNW2-BA-08124_006, BO-0866_004</t>
        </is>
      </c>
      <c r="D319" s="27" t="inlineStr">
        <is>
          <t>ANI / ANG</t>
        </is>
      </c>
      <c r="F319" s="151">
        <f>HYPERLINK("https://app.global.datasite.com/webviewer/?projectId=696652ec0dc07cc02daa26a0&amp;documentId=69ca5b86ce283fccb51b7ffd","IHE_2016_ BNW2-BA-08124_006, BO-0866_004")</f>
        <v/>
      </c>
      <c r="G319" t="inlineStr">
        <is>
          <t>DOCUMENT</t>
        </is>
      </c>
      <c r="H319" t="inlineStr">
        <is>
          <t>pdf</t>
        </is>
      </c>
      <c r="I319" t="inlineStr">
        <is>
          <t>DOWNLOAD</t>
        </is>
      </c>
      <c r="J319" t="n">
        <v>1.2295103</v>
      </c>
      <c r="K319" t="inlineStr">
        <is>
          <t>Unread</t>
        </is>
      </c>
      <c r="L319" s="153" t="n">
        <v>46176.92764111111</v>
      </c>
      <c r="M319" t="inlineStr">
        <is>
          <t>69ca5b86ce283fccb51b7ffd</t>
        </is>
      </c>
    </row>
    <row r="320">
      <c r="A320" t="inlineStr">
        <is>
          <t>Project Notos</t>
        </is>
      </c>
      <c r="B320" t="inlineStr">
        <is>
          <t>1.2.6.1.4</t>
        </is>
      </c>
      <c r="C320" s="15" t="inlineStr">
        <is>
          <t>IHE_2017_BNW2-BA08124_007, BO-0866_005</t>
        </is>
      </c>
      <c r="D320" s="27" t="inlineStr">
        <is>
          <t>ANI / ANG</t>
        </is>
      </c>
      <c r="F320" s="151">
        <f>HYPERLINK("https://app.global.datasite.com/webviewer/?projectId=696652ec0dc07cc02daa26a0&amp;documentId=69ca5b86ce283fccb51b7ffe","IHE_2017_BNW2-BA08124_007, BO-0866_005")</f>
        <v/>
      </c>
      <c r="G320" t="inlineStr">
        <is>
          <t>DOCUMENT</t>
        </is>
      </c>
      <c r="H320" t="inlineStr">
        <is>
          <t>pdf</t>
        </is>
      </c>
      <c r="I320" t="inlineStr">
        <is>
          <t>DOWNLOAD</t>
        </is>
      </c>
      <c r="J320" t="n">
        <v>3.71018218</v>
      </c>
      <c r="K320" t="inlineStr">
        <is>
          <t>Unread</t>
        </is>
      </c>
      <c r="L320" s="153" t="n">
        <v>46176.92764111111</v>
      </c>
      <c r="M320" t="inlineStr">
        <is>
          <t>69ca5b86ce283fccb51b7ffe</t>
        </is>
      </c>
    </row>
    <row r="321">
      <c r="A321" t="inlineStr">
        <is>
          <t>Project Notos</t>
        </is>
      </c>
      <c r="B321" t="inlineStr">
        <is>
          <t>1.2.6.1.5</t>
        </is>
      </c>
      <c r="C321" s="15" t="inlineStr">
        <is>
          <t>IHE_Prüfbescheinigung 82b_2025_übergeben250226</t>
        </is>
      </c>
      <c r="D321" s="27" t="inlineStr">
        <is>
          <t>ANI / ANG</t>
        </is>
      </c>
      <c r="F321" s="151">
        <f>HYPERLINK("https://app.global.datasite.com/webviewer/?projectId=696652ec0dc07cc02daa26a0&amp;documentId=69ca60d3ee10c0ac4a7f9859","IHE_Prüfbescheinigung 82b_2025_übergeben250226")</f>
        <v/>
      </c>
      <c r="G321" t="inlineStr">
        <is>
          <t>DOCUMENT</t>
        </is>
      </c>
      <c r="H321" t="inlineStr">
        <is>
          <t>pdf</t>
        </is>
      </c>
      <c r="I321" t="inlineStr">
        <is>
          <t>DOWNLOAD</t>
        </is>
      </c>
      <c r="J321" t="n">
        <v>13.45459938</v>
      </c>
      <c r="K321" t="inlineStr">
        <is>
          <t>Unread</t>
        </is>
      </c>
      <c r="L321" s="153" t="n">
        <v>46176.92764111111</v>
      </c>
      <c r="M321" t="inlineStr">
        <is>
          <t>69ca60d3ee10c0ac4a7f9859</t>
        </is>
      </c>
    </row>
    <row r="322">
      <c r="A322" s="149" t="inlineStr">
        <is>
          <t>Project Notos</t>
        </is>
      </c>
      <c r="B322" s="149" t="inlineStr">
        <is>
          <t>1.2.6.2</t>
        </is>
      </c>
      <c r="C322" s="17" t="inlineStr">
        <is>
          <t>Rental contract</t>
        </is>
      </c>
      <c r="D322" s="25" t="n"/>
      <c r="F322" s="150">
        <f>HYPERLINK("https://app.global.datasite.com/platform/container/696652ec0dc07cc02daa26a0/documents/content/index/69ca5d8dce283fccb51b8076","Rental contract")</f>
        <v/>
      </c>
      <c r="G322" s="149" t="inlineStr">
        <is>
          <t>FOLDER</t>
        </is>
      </c>
      <c r="H322" s="149" t="n"/>
      <c r="I322" s="149" t="inlineStr">
        <is>
          <t>DOWNLOAD</t>
        </is>
      </c>
      <c r="J322" s="149" t="n"/>
      <c r="K322" s="149" t="inlineStr">
        <is>
          <t>Unread</t>
        </is>
      </c>
      <c r="L322" s="152" t="n">
        <v>46176.92764111111</v>
      </c>
      <c r="M322" s="149" t="inlineStr">
        <is>
          <t>69ca5d8dce283fccb51b8076</t>
        </is>
      </c>
    </row>
    <row r="323">
      <c r="A323" s="3" t="inlineStr">
        <is>
          <t>Project Notos</t>
        </is>
      </c>
      <c r="B323" s="3" t="inlineStr">
        <is>
          <t>1.2.6.2.1</t>
        </is>
      </c>
      <c r="C323" s="18" t="inlineStr">
        <is>
          <t>Please refer to Innerio Immobilien GmbH (IM) Folder</t>
        </is>
      </c>
      <c r="D323" s="26" t="n"/>
      <c r="F323" s="3" t="inlineStr">
        <is>
          <t>Please refer to Innerio Immobilien GmbH (IM) Folder</t>
        </is>
      </c>
      <c r="G323" s="3" t="inlineStr">
        <is>
          <t>PLACEHOLDER</t>
        </is>
      </c>
      <c r="H323" s="3" t="n"/>
      <c r="I323" s="3" t="inlineStr">
        <is>
          <t>DOWNLOAD</t>
        </is>
      </c>
      <c r="J323" s="3" t="n"/>
      <c r="K323" s="3" t="inlineStr">
        <is>
          <t>Unread</t>
        </is>
      </c>
      <c r="L323" s="9" t="n">
        <v>46176.92764111111</v>
      </c>
      <c r="M323" s="3" t="inlineStr">
        <is>
          <t>69ca5e281937d5b42e54873d</t>
        </is>
      </c>
    </row>
    <row r="324">
      <c r="A324" s="149" t="inlineStr">
        <is>
          <t>Project Notos</t>
        </is>
      </c>
      <c r="B324" s="149" t="inlineStr">
        <is>
          <t>1.2.6.3</t>
        </is>
      </c>
      <c r="C324" s="17" t="inlineStr">
        <is>
          <t>Site analysis 2008</t>
        </is>
      </c>
      <c r="D324" s="25" t="n"/>
      <c r="F324" s="150">
        <f>HYPERLINK("https://app.global.datasite.com/platform/container/696652ec0dc07cc02daa26a0/documents/content/index/69ca5b058afd4a56cbcb9229","Site analysis 2008")</f>
        <v/>
      </c>
      <c r="G324" s="149" t="inlineStr">
        <is>
          <t>FOLDER</t>
        </is>
      </c>
      <c r="H324" s="149" t="n"/>
      <c r="I324" s="149" t="inlineStr">
        <is>
          <t>DOWNLOAD</t>
        </is>
      </c>
      <c r="J324" s="149" t="n"/>
      <c r="K324" s="149" t="inlineStr">
        <is>
          <t>Unread</t>
        </is>
      </c>
      <c r="L324" s="152" t="n">
        <v>46176.92764111111</v>
      </c>
      <c r="M324" s="149" t="inlineStr">
        <is>
          <t>69ca5b058afd4a56cbcb9229</t>
        </is>
      </c>
    </row>
    <row r="325">
      <c r="A325" t="inlineStr">
        <is>
          <t>Project Notos</t>
        </is>
      </c>
      <c r="B325" t="inlineStr">
        <is>
          <t>1.2.6.3.1</t>
        </is>
      </c>
      <c r="C325" s="15" t="inlineStr">
        <is>
          <t>kottingbrunn_site analysis_080811</t>
        </is>
      </c>
      <c r="D325" s="27" t="inlineStr">
        <is>
          <t>ANI / ANG</t>
        </is>
      </c>
      <c r="F325" s="151">
        <f>HYPERLINK("https://app.global.datasite.com/webviewer/?projectId=696652ec0dc07cc02daa26a0&amp;documentId=69bd24060230325cb85d24d3","kottingbrunn_site analysis_080811")</f>
        <v/>
      </c>
      <c r="G325" t="inlineStr">
        <is>
          <t>DOCUMENT</t>
        </is>
      </c>
      <c r="H325" t="inlineStr">
        <is>
          <t>pdf</t>
        </is>
      </c>
      <c r="I325" t="inlineStr">
        <is>
          <t>DOWNLOAD</t>
        </is>
      </c>
      <c r="J325" t="n">
        <v>8.817121500000001</v>
      </c>
      <c r="K325" t="inlineStr">
        <is>
          <t>Unread</t>
        </is>
      </c>
      <c r="L325" s="153" t="n">
        <v>46176.92764111111</v>
      </c>
      <c r="M325" t="inlineStr">
        <is>
          <t>69bd24060230325cb85d24d3</t>
        </is>
      </c>
    </row>
    <row r="326">
      <c r="A326" t="inlineStr">
        <is>
          <t>Project Notos</t>
        </is>
      </c>
      <c r="B326" t="inlineStr">
        <is>
          <t>1.2.6.3.2</t>
        </is>
      </c>
      <c r="C326" s="15" t="inlineStr">
        <is>
          <t>kottingbrunn_site analysis_080812</t>
        </is>
      </c>
      <c r="D326" s="27" t="inlineStr">
        <is>
          <t>ANI / ANG</t>
        </is>
      </c>
      <c r="F326" s="151">
        <f>HYPERLINK("https://app.global.datasite.com/webviewer/?projectId=696652ec0dc07cc02daa26a0&amp;documentId=69bd24060230325cb85d24d4","kottingbrunn_site analysis_080812")</f>
        <v/>
      </c>
      <c r="G326" t="inlineStr">
        <is>
          <t>DOCUMENT</t>
        </is>
      </c>
      <c r="H326" t="inlineStr">
        <is>
          <t>pdf</t>
        </is>
      </c>
      <c r="I326" t="inlineStr">
        <is>
          <t>DOWNLOAD</t>
        </is>
      </c>
      <c r="J326" t="n">
        <v>1.51743888</v>
      </c>
      <c r="K326" t="inlineStr">
        <is>
          <t>Unread</t>
        </is>
      </c>
      <c r="L326" s="153" t="n">
        <v>46176.92764111111</v>
      </c>
      <c r="M326" t="inlineStr">
        <is>
          <t>69bd24060230325cb85d24d4</t>
        </is>
      </c>
    </row>
    <row r="327">
      <c r="A327" s="149" t="inlineStr">
        <is>
          <t>Project Notos</t>
        </is>
      </c>
      <c r="B327" s="149" t="inlineStr">
        <is>
          <t>1.2.7</t>
        </is>
      </c>
      <c r="C327" s="17" t="inlineStr">
        <is>
          <t>Insurance</t>
        </is>
      </c>
      <c r="D327" s="25" t="n"/>
      <c r="F327" s="150">
        <f>HYPERLINK("https://app.global.datasite.com/platform/container/696652ec0dc07cc02daa26a0/documents/content/index/69bd1e81ec74eaf0ce095e87","Insurance")</f>
        <v/>
      </c>
      <c r="G327" s="149" t="inlineStr">
        <is>
          <t>FOLDER</t>
        </is>
      </c>
      <c r="H327" s="149" t="n"/>
      <c r="I327" s="149" t="inlineStr">
        <is>
          <t>DOWNLOAD</t>
        </is>
      </c>
      <c r="J327" s="149" t="n"/>
      <c r="K327" s="149" t="inlineStr">
        <is>
          <t>Unread</t>
        </is>
      </c>
      <c r="L327" s="152" t="n">
        <v>46176.92764111111</v>
      </c>
      <c r="M327" s="149" t="inlineStr">
        <is>
          <t>69bd1e81ec74eaf0ce095e87</t>
        </is>
      </c>
    </row>
    <row r="328">
      <c r="A328" t="inlineStr">
        <is>
          <t>Project Notos</t>
        </is>
      </c>
      <c r="B328" t="inlineStr">
        <is>
          <t>1.2.7.1</t>
        </is>
      </c>
      <c r="C328" s="15" t="inlineStr">
        <is>
          <t>IHE_insurance HDI_260127</t>
        </is>
      </c>
      <c r="D328" s="30" t="inlineStr">
        <is>
          <t>DAS</t>
        </is>
      </c>
      <c r="E328" s="33" t="n"/>
      <c r="F328" s="151">
        <f>HYPERLINK("https://app.global.datasite.com/webviewer/?projectId=696652ec0dc07cc02daa26a0&amp;documentId=69bd1e9ac52e188afc9a4688","IHE_insurance HDI_260127")</f>
        <v/>
      </c>
      <c r="G328" t="inlineStr">
        <is>
          <t>DOCUMENT</t>
        </is>
      </c>
      <c r="H328" t="inlineStr">
        <is>
          <t>pdf</t>
        </is>
      </c>
      <c r="I328" t="inlineStr">
        <is>
          <t>DOWNLOAD</t>
        </is>
      </c>
      <c r="J328" t="n">
        <v>0.04261684</v>
      </c>
      <c r="K328" t="inlineStr">
        <is>
          <t>Unread</t>
        </is>
      </c>
      <c r="L328" s="153" t="n">
        <v>46176.92764111111</v>
      </c>
      <c r="M328" t="inlineStr">
        <is>
          <t>69bd1e9ac52e188afc9a4688</t>
        </is>
      </c>
    </row>
    <row r="329">
      <c r="A329" s="149" t="inlineStr">
        <is>
          <t>Project Notos</t>
        </is>
      </c>
      <c r="B329" s="149" t="inlineStr">
        <is>
          <t>1.2.8</t>
        </is>
      </c>
      <c r="C329" s="17" t="inlineStr">
        <is>
          <t>Legal Proceedings</t>
        </is>
      </c>
      <c r="D329" s="25" t="n"/>
      <c r="F329" s="150">
        <f>HYPERLINK("https://app.global.datasite.com/platform/container/696652ec0dc07cc02daa26a0/documents/content/index/69de2a8cf1775b1debb12f1f","Legal Proceedings")</f>
        <v/>
      </c>
      <c r="G329" s="149" t="inlineStr">
        <is>
          <t>FOLDER</t>
        </is>
      </c>
      <c r="H329" s="149" t="n"/>
      <c r="I329" s="149" t="inlineStr">
        <is>
          <t>DOWNLOAD</t>
        </is>
      </c>
      <c r="J329" s="149" t="n"/>
      <c r="K329" s="149" t="inlineStr">
        <is>
          <t>Unread</t>
        </is>
      </c>
      <c r="L329" s="152" t="n">
        <v>46176.92764111111</v>
      </c>
      <c r="M329" s="149" t="inlineStr">
        <is>
          <t>69de2a8cf1775b1debb12f1f</t>
        </is>
      </c>
    </row>
    <row r="330">
      <c r="A330" t="inlineStr">
        <is>
          <t>Project Notos</t>
        </is>
      </c>
      <c r="B330" t="inlineStr">
        <is>
          <t>1.2.8.1</t>
        </is>
      </c>
      <c r="C330" s="15" t="inlineStr">
        <is>
          <t>IHE_court decision work accident_251128</t>
        </is>
      </c>
      <c r="D330" s="28" t="inlineStr">
        <is>
          <t>MRH</t>
        </is>
      </c>
      <c r="E330" s="33" t="n"/>
      <c r="F330" s="151">
        <f>HYPERLINK("https://app.global.datasite.com/webviewer/?projectId=696652ec0dc07cc02daa26a0&amp;documentId=69de2a9fa1dd2fcd2104ca93","IHE_court decision work accident_251128")</f>
        <v/>
      </c>
      <c r="G330" t="inlineStr">
        <is>
          <t>DOCUMENT</t>
        </is>
      </c>
      <c r="H330" t="inlineStr">
        <is>
          <t>pdf</t>
        </is>
      </c>
      <c r="I330" t="inlineStr">
        <is>
          <t>DOWNLOAD</t>
        </is>
      </c>
      <c r="J330" t="n">
        <v>0.21627807</v>
      </c>
      <c r="K330" t="inlineStr">
        <is>
          <t>Read</t>
        </is>
      </c>
      <c r="L330" s="153" t="n">
        <v>46176.92764111111</v>
      </c>
      <c r="M330" t="inlineStr">
        <is>
          <t>69de2a9fa1dd2fcd2104ca93</t>
        </is>
      </c>
    </row>
    <row r="331">
      <c r="A331" s="154" t="inlineStr">
        <is>
          <t>Project Notos</t>
        </is>
      </c>
      <c r="B331" s="154" t="inlineStr">
        <is>
          <t>1.2.9</t>
        </is>
      </c>
      <c r="C331" s="155" t="inlineStr">
        <is>
          <t>Supplier</t>
        </is>
      </c>
      <c r="D331" s="156" t="n"/>
      <c r="E331" s="156" t="n"/>
      <c r="F331" s="157">
        <f>HYPERLINK("https://app.global.datasite.com/platform/container/696652ec0dc07cc02daa26a0/documents/content/index/6a3e954e95c2eb855a5fff06","Supplier")</f>
        <v/>
      </c>
      <c r="G331" s="154" t="inlineStr">
        <is>
          <t>FOLDER</t>
        </is>
      </c>
      <c r="H331" s="154" t="n"/>
      <c r="I331" s="154" t="inlineStr">
        <is>
          <t>DOWNLOAD</t>
        </is>
      </c>
      <c r="J331" s="154" t="n"/>
      <c r="K331" s="154" t="inlineStr">
        <is>
          <t>Unread</t>
        </is>
      </c>
      <c r="L331" s="158" t="n">
        <v>46199.71239078703</v>
      </c>
      <c r="M331" s="154" t="inlineStr">
        <is>
          <t>6a3e954e95c2eb855a5fff06</t>
        </is>
      </c>
    </row>
    <row r="332">
      <c r="A332" s="154" t="inlineStr">
        <is>
          <t>Project Notos</t>
        </is>
      </c>
      <c r="B332" s="154" t="inlineStr">
        <is>
          <t>1.2.9.1</t>
        </is>
      </c>
      <c r="C332" s="155" t="inlineStr">
        <is>
          <t>Leasing</t>
        </is>
      </c>
      <c r="D332" s="156" t="n"/>
      <c r="E332" s="156" t="n"/>
      <c r="F332" s="157">
        <f>HYPERLINK("https://app.global.datasite.com/platform/container/696652ec0dc07cc02daa26a0/documents/content/index/69caa935d8173ff1179d95f7","Leasing")</f>
        <v/>
      </c>
      <c r="G332" s="154" t="inlineStr">
        <is>
          <t>FOLDER</t>
        </is>
      </c>
      <c r="H332" s="154" t="n"/>
      <c r="I332" s="154" t="inlineStr">
        <is>
          <t>DOWNLOAD</t>
        </is>
      </c>
      <c r="J332" s="154" t="n"/>
      <c r="K332" s="154" t="inlineStr">
        <is>
          <t>Unread</t>
        </is>
      </c>
      <c r="L332" s="158" t="n">
        <v>46195.66359459491</v>
      </c>
      <c r="M332" s="154" t="inlineStr">
        <is>
          <t>69caa935d8173ff1179d95f7</t>
        </is>
      </c>
    </row>
    <row r="333">
      <c r="A333" s="154" t="inlineStr">
        <is>
          <t>Project Notos</t>
        </is>
      </c>
      <c r="B333" s="154" t="inlineStr">
        <is>
          <t>1.2.9.1.1</t>
        </is>
      </c>
      <c r="C333" s="155" t="inlineStr">
        <is>
          <t>IHE_leasing agreement_BMW_BN397PB_220214</t>
        </is>
      </c>
      <c r="D333" s="156" t="n"/>
      <c r="E333" s="156" t="n"/>
      <c r="F333" s="157">
        <f>HYPERLINK("https://app.global.datasite.com/webviewer/?projectId=696652ec0dc07cc02daa26a0&amp;documentId=69ca50045bd753d43967eb84","IHE_leasing agreement_BMW_BN397PB_220214")</f>
        <v/>
      </c>
      <c r="G333" s="154" t="inlineStr">
        <is>
          <t>DOCUMENT</t>
        </is>
      </c>
      <c r="H333" s="154" t="inlineStr">
        <is>
          <t>pdf</t>
        </is>
      </c>
      <c r="I333" s="154" t="inlineStr">
        <is>
          <t>DOWNLOAD</t>
        </is>
      </c>
      <c r="J333" s="154" t="n">
        <v>1.04671478</v>
      </c>
      <c r="K333" s="154" t="inlineStr">
        <is>
          <t>Unread</t>
        </is>
      </c>
      <c r="L333" s="158" t="n">
        <v>46195.66359459491</v>
      </c>
      <c r="M333" s="154" t="inlineStr">
        <is>
          <t>69ca50045bd753d43967eb84</t>
        </is>
      </c>
    </row>
    <row r="334">
      <c r="A334" s="154" t="inlineStr">
        <is>
          <t>Project Notos</t>
        </is>
      </c>
      <c r="B334" s="154" t="inlineStr">
        <is>
          <t>1.2.9.1.2</t>
        </is>
      </c>
      <c r="C334" s="155" t="inlineStr">
        <is>
          <t>IHE_leasing agreement_Mercedes_BN382PW_231222</t>
        </is>
      </c>
      <c r="D334" s="156" t="n"/>
      <c r="E334" s="156" t="n"/>
      <c r="F334" s="157">
        <f>HYPERLINK("https://app.global.datasite.com/webviewer/?projectId=696652ec0dc07cc02daa26a0&amp;documentId=69ca506c851a3033e1305fba","IHE_leasing agreement_Mercedes_BN382PW_231222")</f>
        <v/>
      </c>
      <c r="G334" s="154" t="inlineStr">
        <is>
          <t>DOCUMENT</t>
        </is>
      </c>
      <c r="H334" s="154" t="inlineStr">
        <is>
          <t>pdf</t>
        </is>
      </c>
      <c r="I334" s="154" t="inlineStr">
        <is>
          <t>DOWNLOAD</t>
        </is>
      </c>
      <c r="J334" s="154" t="n">
        <v>0.67668819</v>
      </c>
      <c r="K334" s="154" t="inlineStr">
        <is>
          <t>Unread</t>
        </is>
      </c>
      <c r="L334" s="158" t="n">
        <v>46195.66359459491</v>
      </c>
      <c r="M334" s="154" t="inlineStr">
        <is>
          <t>69ca506c851a3033e1305fba</t>
        </is>
      </c>
    </row>
    <row r="335">
      <c r="A335" s="154" t="inlineStr">
        <is>
          <t>Project Notos</t>
        </is>
      </c>
      <c r="B335" s="154" t="inlineStr">
        <is>
          <t>1.2.9.1.3</t>
        </is>
      </c>
      <c r="C335" s="155" t="inlineStr">
        <is>
          <t>IHE_leasing agreement_Mercedes_231122</t>
        </is>
      </c>
      <c r="D335" s="156" t="n"/>
      <c r="E335" s="156" t="n"/>
      <c r="F335" s="157">
        <f>HYPERLINK("https://app.global.datasite.com/webviewer/?projectId=696652ec0dc07cc02daa26a0&amp;documentId=69ca4f50ee10c0ac4a7f8f34","IHE_leasing agreement_Mercedes_231122")</f>
        <v/>
      </c>
      <c r="G335" s="154" t="inlineStr">
        <is>
          <t>DOCUMENT</t>
        </is>
      </c>
      <c r="H335" s="154" t="inlineStr">
        <is>
          <t>pdf</t>
        </is>
      </c>
      <c r="I335" s="154" t="inlineStr">
        <is>
          <t>DOWNLOAD</t>
        </is>
      </c>
      <c r="J335" s="154" t="n">
        <v>7.95631217</v>
      </c>
      <c r="K335" s="154" t="inlineStr">
        <is>
          <t>Unread</t>
        </is>
      </c>
      <c r="L335" s="158" t="n">
        <v>46195.66359459491</v>
      </c>
      <c r="M335" s="154" t="inlineStr">
        <is>
          <t>69ca4f50ee10c0ac4a7f8f34</t>
        </is>
      </c>
    </row>
    <row r="336">
      <c r="A336" s="154" t="inlineStr">
        <is>
          <t>Project Notos</t>
        </is>
      </c>
      <c r="B336" s="154" t="inlineStr">
        <is>
          <t>1.2.9.1.4</t>
        </is>
      </c>
      <c r="C336" s="155" t="inlineStr">
        <is>
          <t>IHE overview_Leasing UGB_260225</t>
        </is>
      </c>
      <c r="D336" s="156" t="n"/>
      <c r="E336" s="156" t="n"/>
      <c r="F336" s="157">
        <f>HYPERLINK("https://app.global.datasite.com/webviewer/?projectId=696652ec0dc07cc02daa26a0&amp;documentId=69ca4eeaede9e731bc917be4","IHE overview_Leasing UGB_260225")</f>
        <v/>
      </c>
      <c r="G336" s="154" t="inlineStr">
        <is>
          <t>DOCUMENT</t>
        </is>
      </c>
      <c r="H336" s="154" t="inlineStr">
        <is>
          <t>pdf</t>
        </is>
      </c>
      <c r="I336" s="154" t="inlineStr">
        <is>
          <t>DOWNLOAD</t>
        </is>
      </c>
      <c r="J336" s="154" t="n">
        <v>0.01283645</v>
      </c>
      <c r="K336" s="154" t="inlineStr">
        <is>
          <t>Unread</t>
        </is>
      </c>
      <c r="L336" s="158" t="n">
        <v>46195.66359459491</v>
      </c>
      <c r="M336" s="154" t="inlineStr">
        <is>
          <t>69ca4eeaede9e731bc917be4</t>
        </is>
      </c>
    </row>
    <row r="337">
      <c r="A337" s="154" t="inlineStr">
        <is>
          <t>Project Notos</t>
        </is>
      </c>
      <c r="B337" s="154" t="inlineStr">
        <is>
          <t>1.2.10</t>
        </is>
      </c>
      <c r="C337" s="155" t="inlineStr">
        <is>
          <t>Warehouse rental</t>
        </is>
      </c>
      <c r="D337" s="156" t="n"/>
      <c r="E337" s="156" t="n"/>
      <c r="F337" s="157">
        <f>HYPERLINK("https://app.global.datasite.com/platform/container/696652ec0dc07cc02daa26a0/documents/content/index/6a4694e59ff3ecd2bf281c90","Warehouse rental")</f>
        <v/>
      </c>
      <c r="G337" s="154" t="inlineStr">
        <is>
          <t>FOLDER</t>
        </is>
      </c>
      <c r="H337" s="154" t="n"/>
      <c r="I337" s="154" t="inlineStr">
        <is>
          <t>DOWNLOAD</t>
        </is>
      </c>
      <c r="J337" s="154" t="n"/>
      <c r="K337" s="154" t="inlineStr">
        <is>
          <t>Unread</t>
        </is>
      </c>
      <c r="L337" s="158" t="n">
        <v>46205.78495946759</v>
      </c>
      <c r="M337" s="154" t="inlineStr">
        <is>
          <t>6a4694e59ff3ecd2bf281c90</t>
        </is>
      </c>
    </row>
    <row r="338">
      <c r="A338" s="154" t="inlineStr">
        <is>
          <t>Project Notos</t>
        </is>
      </c>
      <c r="B338" s="154" t="inlineStr">
        <is>
          <t>1.2.10.1</t>
        </is>
      </c>
      <c r="C338" s="155" t="inlineStr">
        <is>
          <t>Bernsped</t>
        </is>
      </c>
      <c r="D338" s="156" t="n"/>
      <c r="E338" s="156" t="n"/>
      <c r="F338" s="157">
        <f>HYPERLINK("https://app.global.datasite.com/platform/container/696652ec0dc07cc02daa26a0/documents/content/index/6a46953b380306af43d757dd","Bernsped")</f>
        <v/>
      </c>
      <c r="G338" s="154" t="inlineStr">
        <is>
          <t>FOLDER</t>
        </is>
      </c>
      <c r="H338" s="154" t="n"/>
      <c r="I338" s="154" t="inlineStr">
        <is>
          <t>DOWNLOAD</t>
        </is>
      </c>
      <c r="J338" s="154" t="n"/>
      <c r="K338" s="154" t="inlineStr">
        <is>
          <t>Unread</t>
        </is>
      </c>
      <c r="L338" s="158" t="n">
        <v>46205.78495946759</v>
      </c>
      <c r="M338" s="154" t="inlineStr">
        <is>
          <t>6a46953b380306af43d757dd</t>
        </is>
      </c>
    </row>
    <row r="339">
      <c r="A339" s="154" t="inlineStr">
        <is>
          <t>Project Notos</t>
        </is>
      </c>
      <c r="B339" s="154" t="inlineStr">
        <is>
          <t>1.2.10.1.1</t>
        </is>
      </c>
      <c r="C339" s="155" t="inlineStr">
        <is>
          <t>IHE_Lagerung 2026 - Signed</t>
        </is>
      </c>
      <c r="D339" s="156" t="n"/>
      <c r="E339" s="156" t="n"/>
      <c r="F339" s="157">
        <f>HYPERLINK("https://app.global.datasite.com/webviewer/?projectId=696652ec0dc07cc02daa26a0&amp;documentId=6a44f7df71f7dc776026332f","IHE_Lagerung 2026 - Signed")</f>
        <v/>
      </c>
      <c r="G339" s="154" t="inlineStr">
        <is>
          <t>DOCUMENT</t>
        </is>
      </c>
      <c r="H339" s="154" t="inlineStr">
        <is>
          <t>pdf</t>
        </is>
      </c>
      <c r="I339" s="154" t="inlineStr">
        <is>
          <t>DOWNLOAD</t>
        </is>
      </c>
      <c r="J339" s="154" t="n">
        <v>0.74979305</v>
      </c>
      <c r="K339" s="154" t="inlineStr">
        <is>
          <t>Unread</t>
        </is>
      </c>
      <c r="L339" s="158" t="n">
        <v>46205.78495946759</v>
      </c>
      <c r="M339" s="154" t="inlineStr">
        <is>
          <t>6a44f7df71f7dc776026332f</t>
        </is>
      </c>
    </row>
    <row r="340">
      <c r="A340" s="154" t="inlineStr">
        <is>
          <t>Project Notos</t>
        </is>
      </c>
      <c r="B340" s="154" t="inlineStr">
        <is>
          <t>1.2.10.2</t>
        </is>
      </c>
      <c r="C340" s="155" t="inlineStr">
        <is>
          <t>LZS</t>
        </is>
      </c>
      <c r="D340" s="156" t="n"/>
      <c r="E340" s="156" t="n"/>
      <c r="F340" s="157">
        <f>HYPERLINK("https://app.global.datasite.com/platform/container/696652ec0dc07cc02daa26a0/documents/content/index/6a4695d03c4a87058cac747c","LZS")</f>
        <v/>
      </c>
      <c r="G340" s="154" t="inlineStr">
        <is>
          <t>FOLDER</t>
        </is>
      </c>
      <c r="H340" s="154" t="n"/>
      <c r="I340" s="154" t="inlineStr">
        <is>
          <t>DOWNLOAD</t>
        </is>
      </c>
      <c r="J340" s="154" t="n"/>
      <c r="K340" s="154" t="inlineStr">
        <is>
          <t>Unread</t>
        </is>
      </c>
      <c r="L340" s="158" t="n">
        <v>46205.78495946759</v>
      </c>
      <c r="M340" s="154" t="inlineStr">
        <is>
          <t>6a4695d03c4a87058cac747c</t>
        </is>
      </c>
    </row>
    <row r="341">
      <c r="A341" s="154" t="inlineStr">
        <is>
          <t>Project Notos</t>
        </is>
      </c>
      <c r="B341" s="154" t="inlineStr">
        <is>
          <t>1.2.10.2.1</t>
        </is>
      </c>
      <c r="C341" s="155" t="inlineStr">
        <is>
          <t>IHE_836_SUB rental contract outside storage LZS</t>
        </is>
      </c>
      <c r="D341" s="156" t="n"/>
      <c r="E341" s="156" t="n"/>
      <c r="F341" s="157">
        <f>HYPERLINK("https://app.global.datasite.com/webviewer/?projectId=696652ec0dc07cc02daa26a0&amp;documentId=6a44f7df71f7dc7760263330","IHE_836_SUB rental contract outside storage LZS")</f>
        <v/>
      </c>
      <c r="G341" s="154" t="inlineStr">
        <is>
          <t>DOCUMENT</t>
        </is>
      </c>
      <c r="H341" s="154" t="inlineStr">
        <is>
          <t>pdf</t>
        </is>
      </c>
      <c r="I341" s="154" t="inlineStr">
        <is>
          <t>DOWNLOAD</t>
        </is>
      </c>
      <c r="J341" s="154" t="n">
        <v>2.97444915</v>
      </c>
      <c r="K341" s="154" t="inlineStr">
        <is>
          <t>Unread</t>
        </is>
      </c>
      <c r="L341" s="158" t="n">
        <v>46205.78495946759</v>
      </c>
      <c r="M341" s="154" t="inlineStr">
        <is>
          <t>6a44f7df71f7dc7760263330</t>
        </is>
      </c>
    </row>
    <row r="342">
      <c r="A342" s="149" t="inlineStr">
        <is>
          <t>Project Notos</t>
        </is>
      </c>
      <c r="B342" s="149" t="inlineStr">
        <is>
          <t>1.3</t>
        </is>
      </c>
      <c r="C342" s="17" t="inlineStr">
        <is>
          <t>Rupert Fertinger GmbH (RF)</t>
        </is>
      </c>
      <c r="D342" s="25" t="n"/>
      <c r="F342" s="150">
        <f>HYPERLINK("https://app.global.datasite.com/platform/container/696652ec0dc07cc02daa26a0/documents/content/index/698a2dadfb09fe05f052403e","Rupert Fertinger GmbH (RF)")</f>
        <v/>
      </c>
      <c r="G342" s="149" t="inlineStr">
        <is>
          <t>FOLDER</t>
        </is>
      </c>
      <c r="H342" s="149" t="n"/>
      <c r="I342" s="149" t="inlineStr">
        <is>
          <t>DOWNLOAD</t>
        </is>
      </c>
      <c r="J342" s="149" t="n"/>
      <c r="K342" s="149" t="inlineStr">
        <is>
          <t>Unread</t>
        </is>
      </c>
      <c r="L342" s="152" t="n">
        <v>46176.92764111111</v>
      </c>
      <c r="M342" s="149" t="inlineStr">
        <is>
          <t>698a2dadfb09fe05f052403e</t>
        </is>
      </c>
    </row>
    <row r="343">
      <c r="A343" s="149" t="inlineStr">
        <is>
          <t>Project Notos</t>
        </is>
      </c>
      <c r="B343" s="149" t="inlineStr">
        <is>
          <t>1.3.1</t>
        </is>
      </c>
      <c r="C343" s="17" t="inlineStr">
        <is>
          <t>Corporate</t>
        </is>
      </c>
      <c r="D343" s="25" t="n"/>
      <c r="F343" s="150">
        <f>HYPERLINK("https://app.global.datasite.com/platform/container/696652ec0dc07cc02daa26a0/documents/content/index/69bd4f1dd52e3d657312cb18","Corporate")</f>
        <v/>
      </c>
      <c r="G343" s="149" t="inlineStr">
        <is>
          <t>FOLDER</t>
        </is>
      </c>
      <c r="H343" s="149" t="n"/>
      <c r="I343" s="149" t="inlineStr">
        <is>
          <t>DOWNLOAD</t>
        </is>
      </c>
      <c r="J343" s="149" t="n"/>
      <c r="K343" s="149" t="inlineStr">
        <is>
          <t>Unread</t>
        </is>
      </c>
      <c r="L343" s="152" t="n">
        <v>46176.92764111111</v>
      </c>
      <c r="M343" s="149" t="inlineStr">
        <is>
          <t>69bd4f1dd52e3d657312cb18</t>
        </is>
      </c>
    </row>
    <row r="344">
      <c r="A344" s="149" t="inlineStr">
        <is>
          <t>Project Notos</t>
        </is>
      </c>
      <c r="B344" s="149" t="inlineStr">
        <is>
          <t>1.3.1.1</t>
        </is>
      </c>
      <c r="C344" s="17" t="inlineStr">
        <is>
          <t>Company register</t>
        </is>
      </c>
      <c r="D344" s="25" t="n"/>
      <c r="F344" s="150">
        <f>HYPERLINK("https://app.global.datasite.com/platform/container/696652ec0dc07cc02daa26a0/documents/content/index/698cb84ecd666bb7958947b8","Company register")</f>
        <v/>
      </c>
      <c r="G344" s="149" t="inlineStr">
        <is>
          <t>FOLDER</t>
        </is>
      </c>
      <c r="H344" s="149" t="n"/>
      <c r="I344" s="149" t="inlineStr">
        <is>
          <t>DOWNLOAD</t>
        </is>
      </c>
      <c r="J344" s="149" t="n"/>
      <c r="K344" s="149" t="inlineStr">
        <is>
          <t>Unread</t>
        </is>
      </c>
      <c r="L344" s="152" t="n">
        <v>46176.92764111111</v>
      </c>
      <c r="M344" s="149" t="inlineStr">
        <is>
          <t>698cb84ecd666bb7958947b8</t>
        </is>
      </c>
    </row>
    <row r="345">
      <c r="A345" t="inlineStr">
        <is>
          <t>Project Notos</t>
        </is>
      </c>
      <c r="B345" t="inlineStr">
        <is>
          <t>1.3.1.1.1</t>
        </is>
      </c>
      <c r="C345" s="15" t="inlineStr">
        <is>
          <t>RF_commercial register excerpt_20260216</t>
        </is>
      </c>
      <c r="D345" s="29" t="inlineStr">
        <is>
          <t>SHO / RZA / MHL</t>
        </is>
      </c>
      <c r="F345" s="151">
        <f>HYPERLINK("https://app.global.datasite.com/webviewer/?projectId=696652ec0dc07cc02daa26a0&amp;documentId=69a6ddc5a806cc1870d0ee7a","RF_commercial register excerpt_20260216")</f>
        <v/>
      </c>
      <c r="G345" t="inlineStr">
        <is>
          <t>DOCUMENT</t>
        </is>
      </c>
      <c r="H345" t="inlineStr">
        <is>
          <t>pdf</t>
        </is>
      </c>
      <c r="I345" t="inlineStr">
        <is>
          <t>DOWNLOAD</t>
        </is>
      </c>
      <c r="J345" t="n">
        <v>0.06203556</v>
      </c>
      <c r="K345" t="inlineStr">
        <is>
          <t>Unread</t>
        </is>
      </c>
      <c r="L345" s="153" t="n">
        <v>46176.92764111111</v>
      </c>
      <c r="M345" t="inlineStr">
        <is>
          <t>69a6ddc5a806cc1870d0ee7a</t>
        </is>
      </c>
    </row>
    <row r="346">
      <c r="A346" t="inlineStr">
        <is>
          <t>Project Notos</t>
        </is>
      </c>
      <c r="B346" t="inlineStr">
        <is>
          <t>1.3.1.1.2</t>
        </is>
      </c>
      <c r="C346" s="15" t="inlineStr">
        <is>
          <t>RF_commercial register application re share transfer_20191108</t>
        </is>
      </c>
      <c r="D346" s="29" t="inlineStr">
        <is>
          <t>SHO / RZA / MHL</t>
        </is>
      </c>
      <c r="F346" s="151">
        <f>HYPERLINK("https://app.global.datasite.com/webviewer/?projectId=696652ec0dc07cc02daa26a0&amp;documentId=69b96bc0c89bec7857ad40e4","RF_commercial register application re share transfer_20191108")</f>
        <v/>
      </c>
      <c r="G346" t="inlineStr">
        <is>
          <t>DOCUMENT</t>
        </is>
      </c>
      <c r="H346" t="inlineStr">
        <is>
          <t>pdf</t>
        </is>
      </c>
      <c r="I346" t="inlineStr">
        <is>
          <t>DOWNLOAD</t>
        </is>
      </c>
      <c r="J346" t="n">
        <v>1.22330379</v>
      </c>
      <c r="K346" t="inlineStr">
        <is>
          <t>Unread</t>
        </is>
      </c>
      <c r="L346" s="153" t="n">
        <v>46176.92764111111</v>
      </c>
      <c r="M346" t="inlineStr">
        <is>
          <t>69b96bc0c89bec7857ad40e4</t>
        </is>
      </c>
    </row>
    <row r="347">
      <c r="A347" t="inlineStr">
        <is>
          <t>Project Notos</t>
        </is>
      </c>
      <c r="B347" t="inlineStr">
        <is>
          <t>1.3.1.1.3</t>
        </is>
      </c>
      <c r="C347" s="15" t="inlineStr">
        <is>
          <t>RF_commercial register application re share transfer_20191203</t>
        </is>
      </c>
      <c r="D347" s="29" t="inlineStr">
        <is>
          <t>SHO / RZA / MHL</t>
        </is>
      </c>
      <c r="F347" s="151">
        <f>HYPERLINK("https://app.global.datasite.com/webviewer/?projectId=696652ec0dc07cc02daa26a0&amp;documentId=69b96bc0c89bec7857ad40e5","RF_commercial register application re share transfer_20191203")</f>
        <v/>
      </c>
      <c r="G347" t="inlineStr">
        <is>
          <t>DOCUMENT</t>
        </is>
      </c>
      <c r="H347" t="inlineStr">
        <is>
          <t>pdf</t>
        </is>
      </c>
      <c r="I347" t="inlineStr">
        <is>
          <t>DOWNLOAD</t>
        </is>
      </c>
      <c r="J347" t="n">
        <v>0.91797256</v>
      </c>
      <c r="K347" t="inlineStr">
        <is>
          <t>Unread</t>
        </is>
      </c>
      <c r="L347" s="153" t="n">
        <v>46176.92764111111</v>
      </c>
      <c r="M347" t="inlineStr">
        <is>
          <t>69b96bc0c89bec7857ad40e5</t>
        </is>
      </c>
    </row>
    <row r="348">
      <c r="A348" s="149" t="inlineStr">
        <is>
          <t>Project Notos</t>
        </is>
      </c>
      <c r="B348" s="149" t="inlineStr">
        <is>
          <t>1.3.1.2</t>
        </is>
      </c>
      <c r="C348" s="17" t="inlineStr">
        <is>
          <t>Articles of association</t>
        </is>
      </c>
      <c r="D348" s="25" t="n"/>
      <c r="F348" s="150">
        <f>HYPERLINK("https://app.global.datasite.com/platform/container/696652ec0dc07cc02daa26a0/documents/content/index/698cb84ecd666bb7958947b9","Articles of association")</f>
        <v/>
      </c>
      <c r="G348" s="149" t="inlineStr">
        <is>
          <t>FOLDER</t>
        </is>
      </c>
      <c r="H348" s="149" t="n"/>
      <c r="I348" s="149" t="inlineStr">
        <is>
          <t>DOWNLOAD</t>
        </is>
      </c>
      <c r="J348" s="149" t="n"/>
      <c r="K348" s="149" t="inlineStr">
        <is>
          <t>Unread</t>
        </is>
      </c>
      <c r="L348" s="152" t="n">
        <v>46176.92764111111</v>
      </c>
      <c r="M348" s="149" t="inlineStr">
        <is>
          <t>698cb84ecd666bb7958947b9</t>
        </is>
      </c>
    </row>
    <row r="349">
      <c r="A349" t="inlineStr">
        <is>
          <t>Project Notos</t>
        </is>
      </c>
      <c r="B349" t="inlineStr">
        <is>
          <t>1.3.1.2.1</t>
        </is>
      </c>
      <c r="C349" s="15" t="inlineStr">
        <is>
          <t>RF_articles of association_20241219</t>
        </is>
      </c>
      <c r="D349" s="29" t="inlineStr">
        <is>
          <t>SHO / RZA / MHL</t>
        </is>
      </c>
      <c r="F349" s="151">
        <f>HYPERLINK("https://app.global.datasite.com/webviewer/?projectId=696652ec0dc07cc02daa26a0&amp;documentId=69a6eed2379ca3341b57da84","RF_articles of association_20241219")</f>
        <v/>
      </c>
      <c r="G349" t="inlineStr">
        <is>
          <t>DOCUMENT</t>
        </is>
      </c>
      <c r="H349" t="inlineStr">
        <is>
          <t>pdf</t>
        </is>
      </c>
      <c r="I349" t="inlineStr">
        <is>
          <t>DOWNLOAD</t>
        </is>
      </c>
      <c r="J349" t="n">
        <v>0.7088384599999999</v>
      </c>
      <c r="K349" t="inlineStr">
        <is>
          <t>Unread</t>
        </is>
      </c>
      <c r="L349" s="153" t="n">
        <v>46176.92764111111</v>
      </c>
      <c r="M349" t="inlineStr">
        <is>
          <t>69a6eed2379ca3341b57da84</t>
        </is>
      </c>
    </row>
    <row r="350">
      <c r="A350" s="149" t="inlineStr">
        <is>
          <t>Project Notos</t>
        </is>
      </c>
      <c r="B350" s="149" t="inlineStr">
        <is>
          <t>1.3.1.3</t>
        </is>
      </c>
      <c r="C350" s="17" t="inlineStr">
        <is>
          <t>List of shareholders</t>
        </is>
      </c>
      <c r="D350" s="25" t="n"/>
      <c r="F350" s="150">
        <f>HYPERLINK("https://app.global.datasite.com/platform/container/696652ec0dc07cc02daa26a0/documents/content/index/698cb84ecd666bb7958947bb","List of shareholders")</f>
        <v/>
      </c>
      <c r="G350" s="149" t="inlineStr">
        <is>
          <t>FOLDER</t>
        </is>
      </c>
      <c r="H350" s="149" t="n"/>
      <c r="I350" s="149" t="inlineStr">
        <is>
          <t>DOWNLOAD</t>
        </is>
      </c>
      <c r="J350" s="149" t="n"/>
      <c r="K350" s="149" t="inlineStr">
        <is>
          <t>Unread</t>
        </is>
      </c>
      <c r="L350" s="152" t="n">
        <v>46176.92764111111</v>
      </c>
      <c r="M350" s="149" t="inlineStr">
        <is>
          <t>698cb84ecd666bb7958947bb</t>
        </is>
      </c>
    </row>
    <row r="351">
      <c r="A351" t="inlineStr">
        <is>
          <t>Project Notos</t>
        </is>
      </c>
      <c r="B351" t="inlineStr">
        <is>
          <t>1.3.1.3.1</t>
        </is>
      </c>
      <c r="C351" s="15" t="inlineStr">
        <is>
          <t>RF_Offer of Assignment of Shares_20190624</t>
        </is>
      </c>
      <c r="D351" s="29" t="inlineStr">
        <is>
          <t>SHO / RZA / MHL</t>
        </is>
      </c>
      <c r="F351" s="151">
        <f>HYPERLINK("https://app.global.datasite.com/webviewer/?projectId=696652ec0dc07cc02daa26a0&amp;documentId=69aea6f5240d271b4cdf02e3","RF_Offer of Assignment of Shares_20190624")</f>
        <v/>
      </c>
      <c r="G351" t="inlineStr">
        <is>
          <t>DOCUMENT</t>
        </is>
      </c>
      <c r="H351" t="inlineStr">
        <is>
          <t>pdf</t>
        </is>
      </c>
      <c r="I351" t="inlineStr">
        <is>
          <t>DOWNLOAD</t>
        </is>
      </c>
      <c r="J351" t="n">
        <v>2.44714832</v>
      </c>
      <c r="K351" t="inlineStr">
        <is>
          <t>Unread</t>
        </is>
      </c>
      <c r="L351" s="153" t="n">
        <v>46176.92764111111</v>
      </c>
      <c r="M351" t="inlineStr">
        <is>
          <t>69aea6f5240d271b4cdf02e3</t>
        </is>
      </c>
    </row>
    <row r="352">
      <c r="A352" t="inlineStr">
        <is>
          <t>Project Notos</t>
        </is>
      </c>
      <c r="B352" t="inlineStr">
        <is>
          <t>1.3.1.3.2</t>
        </is>
      </c>
      <c r="C352" s="15" t="inlineStr">
        <is>
          <t>RF_Offer of Assignment of Shares_20190605</t>
        </is>
      </c>
      <c r="D352" s="29" t="inlineStr">
        <is>
          <t>SHO / RZA / MHL</t>
        </is>
      </c>
      <c r="F352" s="151">
        <f>HYPERLINK("https://app.global.datasite.com/webviewer/?projectId=696652ec0dc07cc02daa26a0&amp;documentId=69aea6f5240d271b4cdf02e4","RF_Offer of Assignment of Shares_20190605")</f>
        <v/>
      </c>
      <c r="G352" t="inlineStr">
        <is>
          <t>DOCUMENT</t>
        </is>
      </c>
      <c r="H352" t="inlineStr">
        <is>
          <t>pdf</t>
        </is>
      </c>
      <c r="I352" t="inlineStr">
        <is>
          <t>DOWNLOAD</t>
        </is>
      </c>
      <c r="J352" t="n">
        <v>0.5679388</v>
      </c>
      <c r="K352" t="inlineStr">
        <is>
          <t>Unread</t>
        </is>
      </c>
      <c r="L352" s="153" t="n">
        <v>46176.92764111111</v>
      </c>
      <c r="M352" t="inlineStr">
        <is>
          <t>69aea6f5240d271b4cdf02e4</t>
        </is>
      </c>
    </row>
    <row r="353">
      <c r="A353" t="inlineStr">
        <is>
          <t>Project Notos</t>
        </is>
      </c>
      <c r="B353" t="inlineStr">
        <is>
          <t>1.3.1.3.3</t>
        </is>
      </c>
      <c r="C353" s="15" t="inlineStr">
        <is>
          <t>RF_Deed of Acceptance_20191108</t>
        </is>
      </c>
      <c r="D353" s="29" t="inlineStr">
        <is>
          <t>SHO / RZA / MHL</t>
        </is>
      </c>
      <c r="F353" s="151">
        <f>HYPERLINK("https://app.global.datasite.com/webviewer/?projectId=696652ec0dc07cc02daa26a0&amp;documentId=69b9692ea806cc1870d90ea8","RF_Deed of Acceptance_20191108")</f>
        <v/>
      </c>
      <c r="G353" t="inlineStr">
        <is>
          <t>DOCUMENT</t>
        </is>
      </c>
      <c r="H353" t="inlineStr">
        <is>
          <t>pdf</t>
        </is>
      </c>
      <c r="I353" t="inlineStr">
        <is>
          <t>DOWNLOAD</t>
        </is>
      </c>
      <c r="J353" t="n">
        <v>0.17329597</v>
      </c>
      <c r="K353" t="inlineStr">
        <is>
          <t>Unread</t>
        </is>
      </c>
      <c r="L353" s="153" t="n">
        <v>46176.92764111111</v>
      </c>
      <c r="M353" t="inlineStr">
        <is>
          <t>69b9692ea806cc1870d90ea8</t>
        </is>
      </c>
    </row>
    <row r="354">
      <c r="A354" t="inlineStr">
        <is>
          <t>Project Notos</t>
        </is>
      </c>
      <c r="B354" t="inlineStr">
        <is>
          <t>1.3.1.3.4</t>
        </is>
      </c>
      <c r="C354" s="15" t="inlineStr">
        <is>
          <t>RF_Confirmation of Delivery re Offer of Assignemnt of Shares 20190624 &amp; Deed of Acceptance 20191108_20191108</t>
        </is>
      </c>
      <c r="D354" s="29" t="inlineStr">
        <is>
          <t>SHO / RZA / MHL</t>
        </is>
      </c>
      <c r="F354" s="151">
        <f>HYPERLINK("https://app.global.datasite.com/webviewer/?projectId=696652ec0dc07cc02daa26a0&amp;documentId=69b9698ec89bec7857ad4047","RF_Confirmation of Delivery re Offer of Assignemnt of Shares 20190624 &amp; Deed of Acceptance 20191108_20191108")</f>
        <v/>
      </c>
      <c r="G354" t="inlineStr">
        <is>
          <t>DOCUMENT</t>
        </is>
      </c>
      <c r="H354" t="inlineStr">
        <is>
          <t>pdf</t>
        </is>
      </c>
      <c r="I354" t="inlineStr">
        <is>
          <t>DOWNLOAD</t>
        </is>
      </c>
      <c r="J354" t="n">
        <v>0.07652378</v>
      </c>
      <c r="K354" t="inlineStr">
        <is>
          <t>Unread</t>
        </is>
      </c>
      <c r="L354" s="153" t="n">
        <v>46176.92764111111</v>
      </c>
      <c r="M354" t="inlineStr">
        <is>
          <t>69b9698ec89bec7857ad4047</t>
        </is>
      </c>
    </row>
    <row r="355">
      <c r="A355" t="inlineStr">
        <is>
          <t>Project Notos</t>
        </is>
      </c>
      <c r="B355" t="inlineStr">
        <is>
          <t>1.3.1.3.5</t>
        </is>
      </c>
      <c r="C355" s="15" t="inlineStr">
        <is>
          <t>RF_Deed of Acceptance_20191203</t>
        </is>
      </c>
      <c r="D355" s="29" t="inlineStr">
        <is>
          <t>SHO / RZA / MHL</t>
        </is>
      </c>
      <c r="F355" s="151">
        <f>HYPERLINK("https://app.global.datasite.com/webviewer/?projectId=696652ec0dc07cc02daa26a0&amp;documentId=69b96a5b5246c56f2abd677c","RF_Deed of Acceptance_20191203")</f>
        <v/>
      </c>
      <c r="G355" t="inlineStr">
        <is>
          <t>DOCUMENT</t>
        </is>
      </c>
      <c r="H355" t="inlineStr">
        <is>
          <t>pdf</t>
        </is>
      </c>
      <c r="I355" t="inlineStr">
        <is>
          <t>DOWNLOAD</t>
        </is>
      </c>
      <c r="J355" t="n">
        <v>0.18342494</v>
      </c>
      <c r="K355" t="inlineStr">
        <is>
          <t>Unread</t>
        </is>
      </c>
      <c r="L355" s="153" t="n">
        <v>46176.92764111111</v>
      </c>
      <c r="M355" t="inlineStr">
        <is>
          <t>69b96a5b5246c56f2abd677c</t>
        </is>
      </c>
    </row>
    <row r="356">
      <c r="A356" t="inlineStr">
        <is>
          <t>Project Notos</t>
        </is>
      </c>
      <c r="B356" t="inlineStr">
        <is>
          <t>1.3.1.3.6</t>
        </is>
      </c>
      <c r="C356" s="15" t="inlineStr">
        <is>
          <t>RF_Confirmation of Insolvency Administrator_20191108</t>
        </is>
      </c>
      <c r="D356" s="29" t="inlineStr">
        <is>
          <t>SHO / RZA / MHL</t>
        </is>
      </c>
      <c r="F356" s="151">
        <f>HYPERLINK("https://app.global.datasite.com/webviewer/?projectId=696652ec0dc07cc02daa26a0&amp;documentId=69b96a83034d131a33cbad8a","RF_Confirmation of Insolvency Administrator_20191108")</f>
        <v/>
      </c>
      <c r="G356" t="inlineStr">
        <is>
          <t>DOCUMENT</t>
        </is>
      </c>
      <c r="H356" t="inlineStr">
        <is>
          <t>pdf</t>
        </is>
      </c>
      <c r="I356" t="inlineStr">
        <is>
          <t>DOWNLOAD</t>
        </is>
      </c>
      <c r="J356" t="n">
        <v>0.03586769</v>
      </c>
      <c r="K356" t="inlineStr">
        <is>
          <t>Unread</t>
        </is>
      </c>
      <c r="L356" s="153" t="n">
        <v>46176.92764111111</v>
      </c>
      <c r="M356" t="inlineStr">
        <is>
          <t>69b96a83034d131a33cbad8a</t>
        </is>
      </c>
    </row>
    <row r="357">
      <c r="A357" s="149" t="inlineStr">
        <is>
          <t>Project Notos</t>
        </is>
      </c>
      <c r="B357" s="149" t="inlineStr">
        <is>
          <t>1.3.1.4</t>
        </is>
      </c>
      <c r="C357" s="17" t="inlineStr">
        <is>
          <t>Company agreements</t>
        </is>
      </c>
      <c r="D357" s="25" t="n"/>
      <c r="F357" s="150">
        <f>HYPERLINK("https://app.global.datasite.com/platform/container/696652ec0dc07cc02daa26a0/documents/content/index/69bd51afec74eaf0ce099958","Company agreements")</f>
        <v/>
      </c>
      <c r="G357" s="149" t="inlineStr">
        <is>
          <t>FOLDER</t>
        </is>
      </c>
      <c r="H357" s="149" t="n"/>
      <c r="I357" s="149" t="inlineStr">
        <is>
          <t>DOWNLOAD</t>
        </is>
      </c>
      <c r="J357" s="149" t="n"/>
      <c r="K357" s="149" t="inlineStr">
        <is>
          <t>Unread</t>
        </is>
      </c>
      <c r="L357" s="152" t="n">
        <v>46176.92764111111</v>
      </c>
      <c r="M357" s="149" t="inlineStr">
        <is>
          <t>69bd51afec74eaf0ce099958</t>
        </is>
      </c>
    </row>
    <row r="358">
      <c r="A358" t="inlineStr">
        <is>
          <t>Project Notos</t>
        </is>
      </c>
      <c r="B358" t="inlineStr">
        <is>
          <t>1.3.1.4.1</t>
        </is>
      </c>
      <c r="C358" s="15" t="inlineStr">
        <is>
          <t>RF_group service agreement_241230</t>
        </is>
      </c>
      <c r="D358" s="22" t="inlineStr">
        <is>
          <t>HBU / FDE</t>
        </is>
      </c>
      <c r="F358" s="151">
        <f>HYPERLINK("https://app.global.datasite.com/webviewer/?projectId=696652ec0dc07cc02daa26a0&amp;documentId=69bd51dad52e3d657312ceaf","RF_group service agreement_241230")</f>
        <v/>
      </c>
      <c r="G358" t="inlineStr">
        <is>
          <t>DOCUMENT</t>
        </is>
      </c>
      <c r="H358" t="inlineStr">
        <is>
          <t>pdf</t>
        </is>
      </c>
      <c r="I358" t="inlineStr">
        <is>
          <t>DOWNLOAD</t>
        </is>
      </c>
      <c r="J358" t="n">
        <v>0.27173042</v>
      </c>
      <c r="K358" t="inlineStr">
        <is>
          <t>Unread</t>
        </is>
      </c>
      <c r="L358" s="153" t="n">
        <v>46176.92764111111</v>
      </c>
      <c r="M358" t="inlineStr">
        <is>
          <t>69bd51dad52e3d657312ceaf</t>
        </is>
      </c>
    </row>
    <row r="359">
      <c r="A359" t="inlineStr">
        <is>
          <t>Project Notos</t>
        </is>
      </c>
      <c r="B359" t="inlineStr">
        <is>
          <t>1.3.1.4.2</t>
        </is>
      </c>
      <c r="C359" s="15" t="inlineStr">
        <is>
          <t>RF_release of claims IHE_251231</t>
        </is>
      </c>
      <c r="D359" s="22" t="inlineStr">
        <is>
          <t>HBU / FDE</t>
        </is>
      </c>
      <c r="F359" s="151">
        <f>HYPERLINK("https://app.global.datasite.com/webviewer/?projectId=696652ec0dc07cc02daa26a0&amp;documentId=69bd51dad52e3d657312ceb0","RF_release of claims IHE_251231")</f>
        <v/>
      </c>
      <c r="G359" t="inlineStr">
        <is>
          <t>DOCUMENT</t>
        </is>
      </c>
      <c r="H359" t="inlineStr">
        <is>
          <t>pdf</t>
        </is>
      </c>
      <c r="I359" t="inlineStr">
        <is>
          <t>DOWNLOAD</t>
        </is>
      </c>
      <c r="J359" t="n">
        <v>0.49532699</v>
      </c>
      <c r="K359" t="inlineStr">
        <is>
          <t>Unread</t>
        </is>
      </c>
      <c r="L359" s="153" t="n">
        <v>46176.92764111111</v>
      </c>
      <c r="M359" t="inlineStr">
        <is>
          <t>69bd51dad52e3d657312ceb0</t>
        </is>
      </c>
    </row>
    <row r="360">
      <c r="A360" s="149" t="inlineStr">
        <is>
          <t>Project Notos</t>
        </is>
      </c>
      <c r="B360" s="149" t="inlineStr">
        <is>
          <t>1.3.1.5</t>
        </is>
      </c>
      <c r="C360" s="17" t="inlineStr">
        <is>
          <t>Miscellaneous</t>
        </is>
      </c>
      <c r="D360" s="25" t="n"/>
      <c r="F360" s="150">
        <f>HYPERLINK("https://app.global.datasite.com/platform/container/696652ec0dc07cc02daa26a0/documents/content/index/69a6f153dbc47589819e1071","Miscellaneous")</f>
        <v/>
      </c>
      <c r="G360" s="149" t="inlineStr">
        <is>
          <t>FOLDER</t>
        </is>
      </c>
      <c r="H360" s="149" t="n"/>
      <c r="I360" s="149" t="inlineStr">
        <is>
          <t>DOWNLOAD</t>
        </is>
      </c>
      <c r="J360" s="149" t="n"/>
      <c r="K360" s="149" t="inlineStr">
        <is>
          <t>Unread</t>
        </is>
      </c>
      <c r="L360" s="152" t="n">
        <v>46176.92764111111</v>
      </c>
      <c r="M360" s="149" t="inlineStr">
        <is>
          <t>69a6f153dbc47589819e1071</t>
        </is>
      </c>
    </row>
    <row r="361">
      <c r="A361" t="inlineStr">
        <is>
          <t>Project Notos</t>
        </is>
      </c>
      <c r="B361" t="inlineStr">
        <is>
          <t>1.3.1.5.1</t>
        </is>
      </c>
      <c r="C361" s="15" t="inlineStr">
        <is>
          <t>RF_Austrian Trade Register Extract_20260309</t>
        </is>
      </c>
      <c r="D361" s="27" t="inlineStr">
        <is>
          <t>ANI / ANG</t>
        </is>
      </c>
      <c r="F361" s="151">
        <f>HYPERLINK("https://app.global.datasite.com/webviewer/?projectId=696652ec0dc07cc02daa26a0&amp;documentId=69b2f9482b7771ea3a3d1629","RF_Austrian Trade Register Extract_20260309")</f>
        <v/>
      </c>
      <c r="G361" t="inlineStr">
        <is>
          <t>DOCUMENT</t>
        </is>
      </c>
      <c r="H361" t="inlineStr">
        <is>
          <t>pdf</t>
        </is>
      </c>
      <c r="I361" t="inlineStr">
        <is>
          <t>DOWNLOAD</t>
        </is>
      </c>
      <c r="J361" t="n">
        <v>0.19442749</v>
      </c>
      <c r="K361" t="inlineStr">
        <is>
          <t>Unread</t>
        </is>
      </c>
      <c r="L361" s="153" t="n">
        <v>46176.92764111111</v>
      </c>
      <c r="M361" t="inlineStr">
        <is>
          <t>69b2f9482b7771ea3a3d1629</t>
        </is>
      </c>
    </row>
    <row r="362">
      <c r="A362" t="inlineStr">
        <is>
          <t>Project Notos</t>
        </is>
      </c>
      <c r="B362" t="inlineStr">
        <is>
          <t>1.3.1.5.2</t>
        </is>
      </c>
      <c r="C362" s="15" t="inlineStr">
        <is>
          <t>RF_subsidy austria wirtschaftsservice_230420</t>
        </is>
      </c>
      <c r="D362" s="27" t="inlineStr">
        <is>
          <t>ANI / ANG</t>
        </is>
      </c>
      <c r="F362" s="151">
        <f>HYPERLINK("https://app.global.datasite.com/webviewer/?projectId=696652ec0dc07cc02daa26a0&amp;documentId=69bd499fe2032591068f2714","RF_subsidy austria wirtschaftsservice_230420")</f>
        <v/>
      </c>
      <c r="G362" t="inlineStr">
        <is>
          <t>DOCUMENT</t>
        </is>
      </c>
      <c r="H362" t="inlineStr">
        <is>
          <t>pdf</t>
        </is>
      </c>
      <c r="I362" t="inlineStr">
        <is>
          <t>DOWNLOAD</t>
        </is>
      </c>
      <c r="J362" t="n">
        <v>0.66985702</v>
      </c>
      <c r="K362" t="inlineStr">
        <is>
          <t>Unread</t>
        </is>
      </c>
      <c r="L362" s="153" t="n">
        <v>46176.92764111111</v>
      </c>
      <c r="M362" t="inlineStr">
        <is>
          <t>69bd499fe2032591068f2714</t>
        </is>
      </c>
    </row>
    <row r="363">
      <c r="A363" t="inlineStr">
        <is>
          <t>Project Notos</t>
        </is>
      </c>
      <c r="B363" t="inlineStr">
        <is>
          <t>1.3.1.5.3</t>
        </is>
      </c>
      <c r="C363" s="15" t="inlineStr">
        <is>
          <t>RF_covid aid_220630</t>
        </is>
      </c>
      <c r="D363" s="20" t="inlineStr">
        <is>
          <t>Out-of-Scope</t>
        </is>
      </c>
      <c r="F363" s="151">
        <f>HYPERLINK("https://app.global.datasite.com/webviewer/?projectId=696652ec0dc07cc02daa26a0&amp;documentId=69bd499fe2032591068f2715","RF_covid aid_220630")</f>
        <v/>
      </c>
      <c r="G363" t="inlineStr">
        <is>
          <t>DOCUMENT</t>
        </is>
      </c>
      <c r="H363" t="inlineStr">
        <is>
          <t>pdf</t>
        </is>
      </c>
      <c r="I363" t="inlineStr">
        <is>
          <t>DOWNLOAD</t>
        </is>
      </c>
      <c r="J363" t="n">
        <v>0.10371208</v>
      </c>
      <c r="K363" t="inlineStr">
        <is>
          <t>Unread</t>
        </is>
      </c>
      <c r="L363" s="153" t="n">
        <v>46176.92764111111</v>
      </c>
      <c r="M363" t="inlineStr">
        <is>
          <t>69bd499fe2032591068f2715</t>
        </is>
      </c>
    </row>
    <row r="364">
      <c r="A364" t="inlineStr">
        <is>
          <t>Project Notos</t>
        </is>
      </c>
      <c r="B364" t="inlineStr">
        <is>
          <t>1.3.1.5.4</t>
        </is>
      </c>
      <c r="C364" s="15" t="inlineStr">
        <is>
          <t>RF_subsidy austria wirtschaftsservice_231215</t>
        </is>
      </c>
      <c r="D364" s="27" t="inlineStr">
        <is>
          <t>ANI / ANG</t>
        </is>
      </c>
      <c r="F364" s="151">
        <f>HYPERLINK("https://app.global.datasite.com/webviewer/?projectId=696652ec0dc07cc02daa26a0&amp;documentId=69bd499fe2032591068f2716","RF_subsidy austria wirtschaftsservice_231215")</f>
        <v/>
      </c>
      <c r="G364" t="inlineStr">
        <is>
          <t>DOCUMENT</t>
        </is>
      </c>
      <c r="H364" t="inlineStr">
        <is>
          <t>pdf</t>
        </is>
      </c>
      <c r="I364" t="inlineStr">
        <is>
          <t>DOWNLOAD</t>
        </is>
      </c>
      <c r="J364" t="n">
        <v>0.38134288</v>
      </c>
      <c r="K364" t="inlineStr">
        <is>
          <t>Unread</t>
        </is>
      </c>
      <c r="L364" s="153" t="n">
        <v>46176.92764111111</v>
      </c>
      <c r="M364" t="inlineStr">
        <is>
          <t>69bd499fe2032591068f2716</t>
        </is>
      </c>
    </row>
    <row r="365">
      <c r="A365" t="inlineStr">
        <is>
          <t>Project Notos</t>
        </is>
      </c>
      <c r="B365" t="inlineStr">
        <is>
          <t>1.3.1.5.5</t>
        </is>
      </c>
      <c r="C365" s="15" t="inlineStr">
        <is>
          <t>RF_business license_260302</t>
        </is>
      </c>
      <c r="D365" s="27" t="inlineStr">
        <is>
          <t>ANI / ANG</t>
        </is>
      </c>
      <c r="F365" s="151">
        <f>HYPERLINK("https://app.global.datasite.com/webviewer/?projectId=696652ec0dc07cc02daa26a0&amp;documentId=69bd525400cd582225beed55","RF_business license_260302")</f>
        <v/>
      </c>
      <c r="G365" t="inlineStr">
        <is>
          <t>DOCUMENT</t>
        </is>
      </c>
      <c r="H365" t="inlineStr">
        <is>
          <t>pdf</t>
        </is>
      </c>
      <c r="I365" t="inlineStr">
        <is>
          <t>DOWNLOAD</t>
        </is>
      </c>
      <c r="J365" t="n">
        <v>0.19441986</v>
      </c>
      <c r="K365" t="inlineStr">
        <is>
          <t>Unread</t>
        </is>
      </c>
      <c r="L365" s="153" t="n">
        <v>46176.92764111111</v>
      </c>
      <c r="M365" t="inlineStr">
        <is>
          <t>69bd525400cd582225beed55</t>
        </is>
      </c>
    </row>
    <row r="366">
      <c r="A366" s="149" t="inlineStr">
        <is>
          <t>Project Notos</t>
        </is>
      </c>
      <c r="B366" s="149" t="inlineStr">
        <is>
          <t>1.3.1.5.6</t>
        </is>
      </c>
      <c r="C366" s="17" t="inlineStr">
        <is>
          <t>Insolvency proceeding</t>
        </is>
      </c>
      <c r="D366" s="25" t="n"/>
      <c r="F366" s="150">
        <f>HYPERLINK("https://app.global.datasite.com/platform/container/696652ec0dc07cc02daa26a0/documents/content/index/698cc2d320d1aa48fdb0905d","Insolvency proceeding")</f>
        <v/>
      </c>
      <c r="G366" s="149" t="inlineStr">
        <is>
          <t>FOLDER</t>
        </is>
      </c>
      <c r="H366" s="149" t="n"/>
      <c r="I366" s="149" t="inlineStr">
        <is>
          <t>DOWNLOAD</t>
        </is>
      </c>
      <c r="J366" s="149" t="n"/>
      <c r="K366" s="149" t="inlineStr">
        <is>
          <t>Unread</t>
        </is>
      </c>
      <c r="L366" s="152" t="n">
        <v>46176.92764111111</v>
      </c>
      <c r="M366" s="149" t="inlineStr">
        <is>
          <t>698cc2d320d1aa48fdb0905d</t>
        </is>
      </c>
    </row>
    <row r="367">
      <c r="A367" t="inlineStr">
        <is>
          <t>Project Notos</t>
        </is>
      </c>
      <c r="B367" t="inlineStr">
        <is>
          <t>1.3.1.5.6.1</t>
        </is>
      </c>
      <c r="C367" s="15" t="inlineStr">
        <is>
          <t>RF Sanierungsverfahren Ediktdatei</t>
        </is>
      </c>
      <c r="D367" s="29" t="inlineStr">
        <is>
          <t>SHO / RZA / MHL</t>
        </is>
      </c>
      <c r="F367" s="151">
        <f>HYPERLINK("https://app.global.datasite.com/webviewer/?projectId=696652ec0dc07cc02daa26a0&amp;documentId=698cd8ed8beecc47853ebb7e","RF Sanierungsverfahren Ediktdatei")</f>
        <v/>
      </c>
      <c r="G367" t="inlineStr">
        <is>
          <t>DOCUMENT</t>
        </is>
      </c>
      <c r="H367" t="inlineStr">
        <is>
          <t>pdf</t>
        </is>
      </c>
      <c r="I367" t="inlineStr">
        <is>
          <t>DOWNLOAD</t>
        </is>
      </c>
      <c r="J367" t="n">
        <v>0.53670978</v>
      </c>
      <c r="K367" t="inlineStr">
        <is>
          <t>Unread</t>
        </is>
      </c>
      <c r="L367" s="153" t="n">
        <v>46176.92764111111</v>
      </c>
      <c r="M367" t="inlineStr">
        <is>
          <t>698cd8ed8beecc47853ebb7e</t>
        </is>
      </c>
    </row>
    <row r="368">
      <c r="A368" s="149" t="inlineStr">
        <is>
          <t>Project Notos</t>
        </is>
      </c>
      <c r="B368" s="149" t="inlineStr">
        <is>
          <t>1.3.1.6</t>
        </is>
      </c>
      <c r="C368" s="17" t="inlineStr">
        <is>
          <t>Shareholder resolutions</t>
        </is>
      </c>
      <c r="D368" s="25" t="n"/>
      <c r="F368" s="150">
        <f>HYPERLINK("https://app.global.datasite.com/platform/container/696652ec0dc07cc02daa26a0/documents/content/index/69dfe095ef2613ce48af2529","Shareholder resolutions")</f>
        <v/>
      </c>
      <c r="G368" s="149" t="inlineStr">
        <is>
          <t>FOLDER</t>
        </is>
      </c>
      <c r="H368" s="149" t="n"/>
      <c r="I368" s="149" t="inlineStr">
        <is>
          <t>DOWNLOAD</t>
        </is>
      </c>
      <c r="J368" s="149" t="n"/>
      <c r="K368" s="149" t="inlineStr">
        <is>
          <t>Unread</t>
        </is>
      </c>
      <c r="L368" s="152" t="n">
        <v>46176.92764111111</v>
      </c>
      <c r="M368" s="149" t="inlineStr">
        <is>
          <t>69dfe095ef2613ce48af2529</t>
        </is>
      </c>
    </row>
    <row r="369">
      <c r="A369" t="inlineStr">
        <is>
          <t>Project Notos</t>
        </is>
      </c>
      <c r="B369" t="inlineStr">
        <is>
          <t>1.3.1.6.1</t>
        </is>
      </c>
      <c r="C369" s="15" t="inlineStr">
        <is>
          <t>RF_Shareholders Resolution_Rupert Fertinger GmbH. (Appointment of Andreas Zwerger)_20191108</t>
        </is>
      </c>
      <c r="D369" s="29" t="inlineStr">
        <is>
          <t>SHO / RZA / MHL</t>
        </is>
      </c>
      <c r="F369" s="151">
        <f>HYPERLINK("https://app.global.datasite.com/webviewer/?projectId=696652ec0dc07cc02daa26a0&amp;documentId=69a9c18874322950d4196654","RF_Shareholders Resolution_Rupert Fertinger GmbH. (Appointment of Andreas Zwerger)_20191108")</f>
        <v/>
      </c>
      <c r="G369" t="inlineStr">
        <is>
          <t>DOCUMENT</t>
        </is>
      </c>
      <c r="H369" t="inlineStr">
        <is>
          <t>pdf</t>
        </is>
      </c>
      <c r="I369" t="inlineStr">
        <is>
          <t>DOWNLOAD</t>
        </is>
      </c>
      <c r="J369" t="n">
        <v>0.74933815</v>
      </c>
      <c r="K369" t="inlineStr">
        <is>
          <t>Unread</t>
        </is>
      </c>
      <c r="L369" s="153" t="n">
        <v>46176.92764111111</v>
      </c>
      <c r="M369" t="inlineStr">
        <is>
          <t>69a9c18874322950d4196654</t>
        </is>
      </c>
    </row>
    <row r="370">
      <c r="A370" t="inlineStr">
        <is>
          <t>Project Notos</t>
        </is>
      </c>
      <c r="B370" t="inlineStr">
        <is>
          <t>1.3.1.6.2</t>
        </is>
      </c>
      <c r="C370" s="15" t="inlineStr">
        <is>
          <t>RF_Shareholders Resolution_Rupert Fertinger GmbH. (Appointment of Günter Muhr)_20241204</t>
        </is>
      </c>
      <c r="D370" s="29" t="inlineStr">
        <is>
          <t>SHO / RZA / MHL</t>
        </is>
      </c>
      <c r="F370" s="151">
        <f>HYPERLINK("https://app.global.datasite.com/webviewer/?projectId=696652ec0dc07cc02daa26a0&amp;documentId=69a9c18874322950d4196655","RF_Shareholders Resolution_Rupert Fertinger GmbH. (Appointment of Günter Muhr)_20241204")</f>
        <v/>
      </c>
      <c r="G370" t="inlineStr">
        <is>
          <t>DOCUMENT</t>
        </is>
      </c>
      <c r="H370" t="inlineStr">
        <is>
          <t>pdf</t>
        </is>
      </c>
      <c r="I370" t="inlineStr">
        <is>
          <t>DOWNLOAD</t>
        </is>
      </c>
      <c r="J370" t="n">
        <v>0.50335502</v>
      </c>
      <c r="K370" t="inlineStr">
        <is>
          <t>Unread</t>
        </is>
      </c>
      <c r="L370" s="153" t="n">
        <v>46176.92764111111</v>
      </c>
      <c r="M370" t="inlineStr">
        <is>
          <t>69a9c18874322950d4196655</t>
        </is>
      </c>
    </row>
    <row r="371">
      <c r="A371" t="inlineStr">
        <is>
          <t>Project Notos</t>
        </is>
      </c>
      <c r="B371" t="inlineStr">
        <is>
          <t>1.3.1.6.3</t>
        </is>
      </c>
      <c r="C371" s="15" t="inlineStr">
        <is>
          <t>121223_Umlaufbeschluss 2023</t>
        </is>
      </c>
      <c r="D371" s="29" t="inlineStr">
        <is>
          <t>SHO / RZA / MHL</t>
        </is>
      </c>
      <c r="F371" s="151">
        <f>HYPERLINK("https://app.global.datasite.com/webviewer/?projectId=696652ec0dc07cc02daa26a0&amp;documentId=69e0d156f976a76f20d74d81","121223_Umlaufbeschluss 2023")</f>
        <v/>
      </c>
      <c r="G371" t="inlineStr">
        <is>
          <t>DOCUMENT</t>
        </is>
      </c>
      <c r="H371" t="inlineStr">
        <is>
          <t>pdf</t>
        </is>
      </c>
      <c r="I371" t="inlineStr">
        <is>
          <t>DOWNLOAD</t>
        </is>
      </c>
      <c r="J371" t="n">
        <v>0.06329441</v>
      </c>
      <c r="K371" t="inlineStr">
        <is>
          <t>Unread</t>
        </is>
      </c>
      <c r="L371" s="153" t="n">
        <v>46176.92764111111</v>
      </c>
      <c r="M371" t="inlineStr">
        <is>
          <t>69e0d156f976a76f20d74d81</t>
        </is>
      </c>
    </row>
    <row r="372">
      <c r="A372" t="inlineStr">
        <is>
          <t>Project Notos</t>
        </is>
      </c>
      <c r="B372" t="inlineStr">
        <is>
          <t>1.3.1.6.4</t>
        </is>
      </c>
      <c r="C372" s="15" t="inlineStr">
        <is>
          <t>220511_Umlaufbeschluss_2021</t>
        </is>
      </c>
      <c r="D372" s="29" t="inlineStr">
        <is>
          <t>SHO / RZA / MHL</t>
        </is>
      </c>
      <c r="F372" s="151">
        <f>HYPERLINK("https://app.global.datasite.com/webviewer/?projectId=696652ec0dc07cc02daa26a0&amp;documentId=69e0d156f976a76f20d74d82","220511_Umlaufbeschluss_2021")</f>
        <v/>
      </c>
      <c r="G372" t="inlineStr">
        <is>
          <t>DOCUMENT</t>
        </is>
      </c>
      <c r="H372" t="inlineStr">
        <is>
          <t>pdf</t>
        </is>
      </c>
      <c r="I372" t="inlineStr">
        <is>
          <t>DOWNLOAD</t>
        </is>
      </c>
      <c r="J372" t="n">
        <v>0.63125801</v>
      </c>
      <c r="K372" t="inlineStr">
        <is>
          <t>Unread</t>
        </is>
      </c>
      <c r="L372" s="153" t="n">
        <v>46176.92764111111</v>
      </c>
      <c r="M372" t="inlineStr">
        <is>
          <t>69e0d156f976a76f20d74d82</t>
        </is>
      </c>
    </row>
    <row r="373">
      <c r="A373" t="inlineStr">
        <is>
          <t>Project Notos</t>
        </is>
      </c>
      <c r="B373" t="inlineStr">
        <is>
          <t>1.3.1.6.5</t>
        </is>
      </c>
      <c r="C373" s="15" t="inlineStr">
        <is>
          <t>230505_Umlaufbeschluss _2022</t>
        </is>
      </c>
      <c r="D373" s="29" t="inlineStr">
        <is>
          <t>SHO / RZA / MHL</t>
        </is>
      </c>
      <c r="F373" s="151">
        <f>HYPERLINK("https://app.global.datasite.com/webviewer/?projectId=696652ec0dc07cc02daa26a0&amp;documentId=69e0d156f976a76f20d74d83","230505_Umlaufbeschluss _2022")</f>
        <v/>
      </c>
      <c r="G373" t="inlineStr">
        <is>
          <t>DOCUMENT</t>
        </is>
      </c>
      <c r="H373" t="inlineStr">
        <is>
          <t>pdf</t>
        </is>
      </c>
      <c r="I373" t="inlineStr">
        <is>
          <t>DOWNLOAD</t>
        </is>
      </c>
      <c r="J373" t="n">
        <v>0.4309988</v>
      </c>
      <c r="K373" t="inlineStr">
        <is>
          <t>Unread</t>
        </is>
      </c>
      <c r="L373" s="153" t="n">
        <v>46176.92764111111</v>
      </c>
      <c r="M373" t="inlineStr">
        <is>
          <t>69e0d156f976a76f20d74d83</t>
        </is>
      </c>
    </row>
    <row r="374">
      <c r="A374" t="inlineStr">
        <is>
          <t>Project Notos</t>
        </is>
      </c>
      <c r="B374" t="inlineStr">
        <is>
          <t>1.3.1.6.6</t>
        </is>
      </c>
      <c r="C374" s="15" t="inlineStr">
        <is>
          <t>Umlaufbeschluss_2024</t>
        </is>
      </c>
      <c r="D374" s="29" t="inlineStr">
        <is>
          <t>SHO / RZA / MHL</t>
        </is>
      </c>
      <c r="F374" s="151">
        <f>HYPERLINK("https://app.global.datasite.com/webviewer/?projectId=696652ec0dc07cc02daa26a0&amp;documentId=69e0d156f976a76f20d74d84","Umlaufbeschluss_2024")</f>
        <v/>
      </c>
      <c r="G374" t="inlineStr">
        <is>
          <t>DOCUMENT</t>
        </is>
      </c>
      <c r="H374" t="inlineStr">
        <is>
          <t>pdf</t>
        </is>
      </c>
      <c r="I374" t="inlineStr">
        <is>
          <t>DOWNLOAD</t>
        </is>
      </c>
      <c r="J374" t="n">
        <v>0.03599929</v>
      </c>
      <c r="K374" t="inlineStr">
        <is>
          <t>Unread</t>
        </is>
      </c>
      <c r="L374" s="153" t="n">
        <v>46176.92764111111</v>
      </c>
      <c r="M374" t="inlineStr">
        <is>
          <t>69e0d156f976a76f20d74d84</t>
        </is>
      </c>
    </row>
    <row r="375">
      <c r="A375" s="149" t="inlineStr">
        <is>
          <t>Project Notos</t>
        </is>
      </c>
      <c r="B375" s="149" t="inlineStr">
        <is>
          <t>1.3.2</t>
        </is>
      </c>
      <c r="C375" s="17" t="inlineStr">
        <is>
          <t>Financing</t>
        </is>
      </c>
      <c r="D375" s="25" t="n"/>
      <c r="F375" s="150">
        <f>HYPERLINK("https://app.global.datasite.com/platform/container/696652ec0dc07cc02daa26a0/documents/content/index/69bd4a08c52e188afc9a5b38","Financing")</f>
        <v/>
      </c>
      <c r="G375" s="149" t="inlineStr">
        <is>
          <t>FOLDER</t>
        </is>
      </c>
      <c r="H375" s="149" t="n"/>
      <c r="I375" s="149" t="inlineStr">
        <is>
          <t>DOWNLOAD</t>
        </is>
      </c>
      <c r="J375" s="149" t="n"/>
      <c r="K375" s="149" t="inlineStr">
        <is>
          <t>Unread</t>
        </is>
      </c>
      <c r="L375" s="152" t="n">
        <v>46176.92764111111</v>
      </c>
      <c r="M375" s="149" t="inlineStr">
        <is>
          <t>69bd4a08c52e188afc9a5b38</t>
        </is>
      </c>
    </row>
    <row r="376">
      <c r="A376" s="149" t="inlineStr">
        <is>
          <t>Project Notos</t>
        </is>
      </c>
      <c r="B376" s="149" t="inlineStr">
        <is>
          <t>1.3.2.1</t>
        </is>
      </c>
      <c r="C376" s="17" t="inlineStr">
        <is>
          <t>Raiffeisen</t>
        </is>
      </c>
      <c r="D376" s="25" t="n"/>
      <c r="F376" s="150">
        <f>HYPERLINK("https://app.global.datasite.com/platform/container/696652ec0dc07cc02daa26a0/documents/content/index/698cd131089a406f0df5dc69","Raiffeisen")</f>
        <v/>
      </c>
      <c r="G376" s="149" t="inlineStr">
        <is>
          <t>FOLDER</t>
        </is>
      </c>
      <c r="H376" s="149" t="n"/>
      <c r="I376" s="149" t="inlineStr">
        <is>
          <t>DOWNLOAD</t>
        </is>
      </c>
      <c r="J376" s="149" t="n"/>
      <c r="K376" s="149" t="inlineStr">
        <is>
          <t>Unread</t>
        </is>
      </c>
      <c r="L376" s="152" t="n">
        <v>46176.92764111111</v>
      </c>
      <c r="M376" s="149" t="inlineStr">
        <is>
          <t>698cd131089a406f0df5dc69</t>
        </is>
      </c>
    </row>
    <row r="377">
      <c r="A377" t="inlineStr">
        <is>
          <t>Project Notos</t>
        </is>
      </c>
      <c r="B377" t="inlineStr">
        <is>
          <t>1.3.2.1.1</t>
        </is>
      </c>
      <c r="C377" s="15" t="inlineStr">
        <is>
          <t>17.12.2024_Vereinbarung</t>
        </is>
      </c>
      <c r="D377" s="23" t="inlineStr">
        <is>
          <t>PSH / DSN / TOR</t>
        </is>
      </c>
      <c r="F377" s="151">
        <f>HYPERLINK("https://app.global.datasite.com/webviewer/?projectId=696652ec0dc07cc02daa26a0&amp;documentId=69f31e1366bee3b693c82ef4","17.12.2024_Vereinbarung")</f>
        <v/>
      </c>
      <c r="G377" t="inlineStr">
        <is>
          <t>DOCUMENT</t>
        </is>
      </c>
      <c r="H377" t="inlineStr">
        <is>
          <t>pdf</t>
        </is>
      </c>
      <c r="I377" t="inlineStr">
        <is>
          <t>DOWNLOAD</t>
        </is>
      </c>
      <c r="J377" t="n">
        <v>0.93973731</v>
      </c>
      <c r="K377" t="inlineStr">
        <is>
          <t>Unread</t>
        </is>
      </c>
      <c r="L377" s="153" t="n">
        <v>46176.92764111111</v>
      </c>
      <c r="M377" t="inlineStr">
        <is>
          <t>69f31e1366bee3b693c82ef4</t>
        </is>
      </c>
    </row>
    <row r="378">
      <c r="A378" s="149" t="inlineStr">
        <is>
          <t>Project Notos</t>
        </is>
      </c>
      <c r="B378" s="149" t="inlineStr">
        <is>
          <t>1.3.2.2</t>
        </is>
      </c>
      <c r="C378" s="17" t="inlineStr">
        <is>
          <t>Factoring</t>
        </is>
      </c>
      <c r="D378" s="25" t="n"/>
      <c r="F378" s="150">
        <f>HYPERLINK("https://app.global.datasite.com/platform/container/696652ec0dc07cc02daa26a0/documents/content/index/69c545b5d8173ff1179b7c08","Factoring")</f>
        <v/>
      </c>
      <c r="G378" s="149" t="inlineStr">
        <is>
          <t>FOLDER</t>
        </is>
      </c>
      <c r="H378" s="149" t="n"/>
      <c r="I378" s="149" t="inlineStr">
        <is>
          <t>DOWNLOAD</t>
        </is>
      </c>
      <c r="J378" s="149" t="n"/>
      <c r="K378" s="149" t="inlineStr">
        <is>
          <t>Unread</t>
        </is>
      </c>
      <c r="L378" s="152" t="n">
        <v>46176.92764111111</v>
      </c>
      <c r="M378" s="149" t="inlineStr">
        <is>
          <t>69c545b5d8173ff1179b7c08</t>
        </is>
      </c>
    </row>
    <row r="379">
      <c r="A379" t="inlineStr">
        <is>
          <t>Project Notos</t>
        </is>
      </c>
      <c r="B379" t="inlineStr">
        <is>
          <t>1.3.2.2.1</t>
        </is>
      </c>
      <c r="C379" s="15" t="inlineStr">
        <is>
          <t>RF_Factoring Raiffeisen Factor Bank_20240403</t>
        </is>
      </c>
      <c r="D379" s="23" t="inlineStr">
        <is>
          <t>PSH / DSN / TOR</t>
        </is>
      </c>
      <c r="F379" s="151">
        <f>HYPERLINK("https://app.global.datasite.com/webviewer/?projectId=696652ec0dc07cc02daa26a0&amp;documentId=69c545c1adc66d4b47998e0c","RF_Factoring Raiffeisen Factor Bank_20240403")</f>
        <v/>
      </c>
      <c r="G379" t="inlineStr">
        <is>
          <t>DOCUMENT</t>
        </is>
      </c>
      <c r="H379" t="inlineStr">
        <is>
          <t>pdf</t>
        </is>
      </c>
      <c r="I379" t="inlineStr">
        <is>
          <t>DOWNLOAD</t>
        </is>
      </c>
      <c r="J379" t="n">
        <v>0.71915912</v>
      </c>
      <c r="K379" t="inlineStr">
        <is>
          <t>Unread</t>
        </is>
      </c>
      <c r="L379" s="153" t="n">
        <v>46176.92764111111</v>
      </c>
      <c r="M379" t="inlineStr">
        <is>
          <t>69c545c1adc66d4b47998e0c</t>
        </is>
      </c>
    </row>
    <row r="380">
      <c r="A380" s="149" t="inlineStr">
        <is>
          <t>Project Notos</t>
        </is>
      </c>
      <c r="B380" s="149" t="inlineStr">
        <is>
          <t>1.3.2.3</t>
        </is>
      </c>
      <c r="C380" s="17" t="inlineStr">
        <is>
          <t>IC loans</t>
        </is>
      </c>
      <c r="D380" s="25" t="n"/>
      <c r="F380" s="150">
        <f>HYPERLINK("https://app.global.datasite.com/platform/container/696652ec0dc07cc02daa26a0/documents/content/index/69f1d580cb2887c11b42bb01","IC loans")</f>
        <v/>
      </c>
      <c r="G380" s="149" t="inlineStr">
        <is>
          <t>FOLDER</t>
        </is>
      </c>
      <c r="H380" s="149" t="n"/>
      <c r="I380" s="149" t="inlineStr">
        <is>
          <t>DOWNLOAD</t>
        </is>
      </c>
      <c r="J380" s="149" t="n"/>
      <c r="K380" s="149" t="inlineStr">
        <is>
          <t>Unread</t>
        </is>
      </c>
      <c r="L380" s="152" t="n">
        <v>46176.92764111111</v>
      </c>
      <c r="M380" s="149" t="inlineStr">
        <is>
          <t>69f1d580cb2887c11b42bb01</t>
        </is>
      </c>
    </row>
    <row r="381">
      <c r="A381" t="inlineStr">
        <is>
          <t>Project Notos</t>
        </is>
      </c>
      <c r="B381" t="inlineStr">
        <is>
          <t>1.3.2.3.1</t>
        </is>
      </c>
      <c r="C381" s="15" t="inlineStr">
        <is>
          <t>RF_loan agreement to FAP_200421</t>
        </is>
      </c>
      <c r="D381" s="23" t="inlineStr">
        <is>
          <t>PSH / DSN / TOR</t>
        </is>
      </c>
      <c r="F381" s="151">
        <f>HYPERLINK("https://app.global.datasite.com/webviewer/?projectId=696652ec0dc07cc02daa26a0&amp;documentId=69bd4a5c76174ddbd7b6aac0","RF_loan agreement to FAP_200421")</f>
        <v/>
      </c>
      <c r="G381" t="inlineStr">
        <is>
          <t>DOCUMENT</t>
        </is>
      </c>
      <c r="H381" t="inlineStr">
        <is>
          <t>pdf</t>
        </is>
      </c>
      <c r="I381" t="inlineStr">
        <is>
          <t>DOWNLOAD</t>
        </is>
      </c>
      <c r="J381" t="n">
        <v>0.64829635</v>
      </c>
      <c r="K381" t="inlineStr">
        <is>
          <t>Unread</t>
        </is>
      </c>
      <c r="L381" s="153" t="n">
        <v>46176.92764111111</v>
      </c>
      <c r="M381" t="inlineStr">
        <is>
          <t>69bd4a5c76174ddbd7b6aac0</t>
        </is>
      </c>
    </row>
    <row r="382">
      <c r="A382" t="inlineStr">
        <is>
          <t>Project Notos</t>
        </is>
      </c>
      <c r="B382" t="inlineStr">
        <is>
          <t>1.3.2.3.2</t>
        </is>
      </c>
      <c r="C382" s="15" t="inlineStr">
        <is>
          <t>RF_loan agreement from schmid metall_191108</t>
        </is>
      </c>
      <c r="D382" s="23" t="inlineStr">
        <is>
          <t>PSH / DSN / TOR</t>
        </is>
      </c>
      <c r="F382" s="151">
        <f>HYPERLINK("https://app.global.datasite.com/webviewer/?projectId=696652ec0dc07cc02daa26a0&amp;documentId=69bd518410704bfbe0e691c5","RF_loan agreement from schmid metall_191108")</f>
        <v/>
      </c>
      <c r="G382" t="inlineStr">
        <is>
          <t>DOCUMENT</t>
        </is>
      </c>
      <c r="H382" t="inlineStr">
        <is>
          <t>pdf</t>
        </is>
      </c>
      <c r="I382" t="inlineStr">
        <is>
          <t>DOWNLOAD</t>
        </is>
      </c>
      <c r="J382" t="n">
        <v>2.03292083</v>
      </c>
      <c r="K382" t="inlineStr">
        <is>
          <t>Unread</t>
        </is>
      </c>
      <c r="L382" s="153" t="n">
        <v>46176.92764111111</v>
      </c>
      <c r="M382" t="inlineStr">
        <is>
          <t>69bd518410704bfbe0e691c5</t>
        </is>
      </c>
    </row>
    <row r="383">
      <c r="A383" t="inlineStr">
        <is>
          <t>Project Notos</t>
        </is>
      </c>
      <c r="B383" t="inlineStr">
        <is>
          <t>1.3.2.3.3</t>
        </is>
      </c>
      <c r="C383" s="15" t="inlineStr">
        <is>
          <t>RF_loan agreement from IG_250123</t>
        </is>
      </c>
      <c r="D383" s="23" t="inlineStr">
        <is>
          <t>PSH / DSN / TOR</t>
        </is>
      </c>
      <c r="F383" s="151">
        <f>HYPERLINK("https://app.global.datasite.com/webviewer/?projectId=696652ec0dc07cc02daa26a0&amp;documentId=69bd518410704bfbe0e691c6","RF_loan agreement from IG_250123")</f>
        <v/>
      </c>
      <c r="G383" t="inlineStr">
        <is>
          <t>DOCUMENT</t>
        </is>
      </c>
      <c r="H383" t="inlineStr">
        <is>
          <t>pdf</t>
        </is>
      </c>
      <c r="I383" t="inlineStr">
        <is>
          <t>DOWNLOAD</t>
        </is>
      </c>
      <c r="J383" t="n">
        <v>0.28519058</v>
      </c>
      <c r="K383" t="inlineStr">
        <is>
          <t>Unread</t>
        </is>
      </c>
      <c r="L383" s="153" t="n">
        <v>46176.92764111111</v>
      </c>
      <c r="M383" t="inlineStr">
        <is>
          <t>69bd518410704bfbe0e691c6</t>
        </is>
      </c>
    </row>
    <row r="384">
      <c r="A384" t="inlineStr">
        <is>
          <t>Project Notos</t>
        </is>
      </c>
      <c r="B384" t="inlineStr">
        <is>
          <t>1.3.2.3.4</t>
        </is>
      </c>
      <c r="C384" s="15" t="inlineStr">
        <is>
          <t>RF_loan agreement from IHE_</t>
        </is>
      </c>
      <c r="D384" s="23" t="inlineStr">
        <is>
          <t>PSH / DSN / TOR</t>
        </is>
      </c>
      <c r="F384" s="151">
        <f>HYPERLINK("https://app.global.datasite.com/webviewer/?projectId=696652ec0dc07cc02daa26a0&amp;documentId=69bd51eab03e7d31c6a4a8b1","RF_loan agreement from IHE_")</f>
        <v/>
      </c>
      <c r="G384" t="inlineStr">
        <is>
          <t>DOCUMENT</t>
        </is>
      </c>
      <c r="H384" t="inlineStr">
        <is>
          <t>pdf</t>
        </is>
      </c>
      <c r="I384" t="inlineStr">
        <is>
          <t>DOWNLOAD</t>
        </is>
      </c>
      <c r="J384" t="n">
        <v>0.67416763</v>
      </c>
      <c r="K384" t="inlineStr">
        <is>
          <t>Unread</t>
        </is>
      </c>
      <c r="L384" s="153" t="n">
        <v>46176.92764111111</v>
      </c>
      <c r="M384" t="inlineStr">
        <is>
          <t>69bd51eab03e7d31c6a4a8b1</t>
        </is>
      </c>
    </row>
    <row r="385">
      <c r="A385" s="149" t="inlineStr">
        <is>
          <t>Project Notos</t>
        </is>
      </c>
      <c r="B385" s="149" t="inlineStr">
        <is>
          <t>1.3.3</t>
        </is>
      </c>
      <c r="C385" s="17" t="inlineStr">
        <is>
          <t>Employment</t>
        </is>
      </c>
      <c r="D385" s="25" t="n"/>
      <c r="F385" s="150">
        <f>HYPERLINK("https://app.global.datasite.com/platform/container/696652ec0dc07cc02daa26a0/documents/content/index/698cc51ef0199a4713d0c5b8","Employment")</f>
        <v/>
      </c>
      <c r="G385" s="149" t="inlineStr">
        <is>
          <t>FOLDER</t>
        </is>
      </c>
      <c r="H385" s="149" t="n"/>
      <c r="I385" s="149" t="inlineStr">
        <is>
          <t>DOWNLOAD</t>
        </is>
      </c>
      <c r="J385" s="149" t="n"/>
      <c r="K385" s="149" t="inlineStr">
        <is>
          <t>Unread</t>
        </is>
      </c>
      <c r="L385" s="152" t="n">
        <v>46176.92764111111</v>
      </c>
      <c r="M385" s="149" t="inlineStr">
        <is>
          <t>698cc51ef0199a4713d0c5b8</t>
        </is>
      </c>
    </row>
    <row r="386">
      <c r="A386" s="149" t="inlineStr">
        <is>
          <t>Project Notos</t>
        </is>
      </c>
      <c r="B386" s="149" t="inlineStr">
        <is>
          <t>1.3.3.1</t>
        </is>
      </c>
      <c r="C386" s="17" t="inlineStr">
        <is>
          <t>Works agreements</t>
        </is>
      </c>
      <c r="D386" s="25" t="n"/>
      <c r="F386" s="150">
        <f>HYPERLINK("https://app.global.datasite.com/platform/container/696652ec0dc07cc02daa26a0/documents/content/index/69cd083b3cd9c2ad7d28e571","Works agreements")</f>
        <v/>
      </c>
      <c r="G386" s="149" t="inlineStr">
        <is>
          <t>FOLDER</t>
        </is>
      </c>
      <c r="H386" s="149" t="n"/>
      <c r="I386" s="149" t="inlineStr">
        <is>
          <t>DOWNLOAD</t>
        </is>
      </c>
      <c r="J386" s="149" t="n"/>
      <c r="K386" s="149" t="inlineStr">
        <is>
          <t>Unread</t>
        </is>
      </c>
      <c r="L386" s="152" t="n">
        <v>46176.92764111111</v>
      </c>
      <c r="M386" s="149" t="inlineStr">
        <is>
          <t>69cd083b3cd9c2ad7d28e571</t>
        </is>
      </c>
    </row>
    <row r="387">
      <c r="A387" t="inlineStr">
        <is>
          <t>Project Notos</t>
        </is>
      </c>
      <c r="B387" t="inlineStr">
        <is>
          <t>1.3.3.1.1</t>
        </is>
      </c>
      <c r="C387" s="15" t="inlineStr">
        <is>
          <t>RF_Kaufkraftsicherungsprämie_251212</t>
        </is>
      </c>
      <c r="D387" s="28" t="inlineStr">
        <is>
          <t>MRH</t>
        </is>
      </c>
      <c r="F387" s="151">
        <f>HYPERLINK("https://app.global.datasite.com/webviewer/?projectId=696652ec0dc07cc02daa26a0&amp;documentId=69bd510ae2032591068f4e97","RF_Kaufkraftsicherungsprämie_251212")</f>
        <v/>
      </c>
      <c r="G387" t="inlineStr">
        <is>
          <t>DOCUMENT</t>
        </is>
      </c>
      <c r="H387" t="inlineStr">
        <is>
          <t>pdf</t>
        </is>
      </c>
      <c r="I387" t="inlineStr">
        <is>
          <t>DOWNLOAD</t>
        </is>
      </c>
      <c r="J387" t="n">
        <v>1.17576789</v>
      </c>
      <c r="K387" t="inlineStr">
        <is>
          <t>Unread</t>
        </is>
      </c>
      <c r="L387" s="153" t="n">
        <v>46176.92764111111</v>
      </c>
      <c r="M387" t="inlineStr">
        <is>
          <t>69bd510ae2032591068f4e97</t>
        </is>
      </c>
    </row>
    <row r="388">
      <c r="A388" s="149" t="inlineStr">
        <is>
          <t>Project Notos</t>
        </is>
      </c>
      <c r="B388" s="149" t="inlineStr">
        <is>
          <t>1.3.3.2</t>
        </is>
      </c>
      <c r="C388" s="17" t="inlineStr">
        <is>
          <t>List of personnel</t>
        </is>
      </c>
      <c r="D388" s="25" t="n"/>
      <c r="F388" s="150">
        <f>HYPERLINK("https://app.global.datasite.com/platform/container/696652ec0dc07cc02daa26a0/documents/content/index/69cf6fb7da202feec60a836d","List of personnel")</f>
        <v/>
      </c>
      <c r="G388" s="149" t="inlineStr">
        <is>
          <t>FOLDER</t>
        </is>
      </c>
      <c r="H388" s="149" t="n"/>
      <c r="I388" s="149" t="inlineStr">
        <is>
          <t>DOWNLOAD</t>
        </is>
      </c>
      <c r="J388" s="149" t="n"/>
      <c r="K388" s="149" t="inlineStr">
        <is>
          <t>Unread</t>
        </is>
      </c>
      <c r="L388" s="152" t="n">
        <v>46176.92764111111</v>
      </c>
      <c r="M388" s="149" t="inlineStr">
        <is>
          <t>69cf6fb7da202feec60a836d</t>
        </is>
      </c>
    </row>
    <row r="389">
      <c r="A389" s="3" t="inlineStr">
        <is>
          <t>Project Notos</t>
        </is>
      </c>
      <c r="B389" s="3" t="inlineStr">
        <is>
          <t>1.3.3.2.1</t>
        </is>
      </c>
      <c r="C389" s="18" t="inlineStr">
        <is>
          <t>To come</t>
        </is>
      </c>
      <c r="D389" s="26" t="n"/>
      <c r="F389" s="3" t="inlineStr">
        <is>
          <t>To come</t>
        </is>
      </c>
      <c r="G389" s="3" t="inlineStr">
        <is>
          <t>PLACEHOLDER</t>
        </is>
      </c>
      <c r="H389" s="3" t="n"/>
      <c r="I389" s="3" t="inlineStr">
        <is>
          <t>DOWNLOAD</t>
        </is>
      </c>
      <c r="J389" s="3" t="n"/>
      <c r="K389" s="3" t="inlineStr">
        <is>
          <t>Unread</t>
        </is>
      </c>
      <c r="L389" s="9" t="n">
        <v>46176.92764111111</v>
      </c>
      <c r="M389" s="3" t="inlineStr">
        <is>
          <t>69f2527622903fa3ca2d181a</t>
        </is>
      </c>
    </row>
    <row r="390">
      <c r="A390" t="inlineStr">
        <is>
          <t>Project Notos</t>
        </is>
      </c>
      <c r="B390" t="inlineStr">
        <is>
          <t>1.3.3.3</t>
        </is>
      </c>
      <c r="C390" s="15" t="inlineStr">
        <is>
          <t>RF_Haustarifvertrag 2025</t>
        </is>
      </c>
      <c r="D390" s="28" t="inlineStr">
        <is>
          <t>MRH</t>
        </is>
      </c>
      <c r="F390" s="151">
        <f>HYPERLINK("https://app.global.datasite.com/webviewer/?projectId=696652ec0dc07cc02daa26a0&amp;documentId=6a19451e00a146abdeb07908","RF_Haustarifvertrag 2025")</f>
        <v/>
      </c>
      <c r="G390" t="inlineStr">
        <is>
          <t>DOCUMENT</t>
        </is>
      </c>
      <c r="H390" t="inlineStr">
        <is>
          <t>pdf</t>
        </is>
      </c>
      <c r="I390" t="inlineStr">
        <is>
          <t>DOWNLOAD</t>
        </is>
      </c>
      <c r="J390" t="n">
        <v>1.62830066</v>
      </c>
      <c r="K390" t="inlineStr">
        <is>
          <t>Unread</t>
        </is>
      </c>
      <c r="L390" s="153" t="n">
        <v>46176.92764111111</v>
      </c>
      <c r="M390" t="inlineStr">
        <is>
          <t>6a19451e00a146abdeb07908</t>
        </is>
      </c>
    </row>
    <row r="391">
      <c r="A391" s="149" t="inlineStr">
        <is>
          <t>Project Notos</t>
        </is>
      </c>
      <c r="B391" s="149" t="inlineStr">
        <is>
          <t>1.3.4</t>
        </is>
      </c>
      <c r="C391" s="17" t="inlineStr">
        <is>
          <t>Real Estate</t>
        </is>
      </c>
      <c r="D391" s="25" t="n"/>
      <c r="F391" s="150">
        <f>HYPERLINK("https://app.global.datasite.com/platform/container/696652ec0dc07cc02daa26a0/documents/content/index/69bd4f1dd52e3d657312cb19","Real Estate")</f>
        <v/>
      </c>
      <c r="G391" s="149" t="inlineStr">
        <is>
          <t>FOLDER</t>
        </is>
      </c>
      <c r="H391" s="149" t="n"/>
      <c r="I391" s="149" t="inlineStr">
        <is>
          <t>DOWNLOAD</t>
        </is>
      </c>
      <c r="J391" s="149" t="n"/>
      <c r="K391" s="149" t="inlineStr">
        <is>
          <t>Unread</t>
        </is>
      </c>
      <c r="L391" s="152" t="n">
        <v>46176.92764111111</v>
      </c>
      <c r="M391" s="149" t="inlineStr">
        <is>
          <t>69bd4f1dd52e3d657312cb19</t>
        </is>
      </c>
    </row>
    <row r="392">
      <c r="A392" s="149" t="inlineStr">
        <is>
          <t>Project Notos</t>
        </is>
      </c>
      <c r="B392" s="149" t="inlineStr">
        <is>
          <t>1.3.4.1</t>
        </is>
      </c>
      <c r="C392" s="17" t="inlineStr">
        <is>
          <t>Land register</t>
        </is>
      </c>
      <c r="D392" s="25" t="n"/>
      <c r="F392" s="150">
        <f>HYPERLINK("https://app.global.datasite.com/platform/container/696652ec0dc07cc02daa26a0/documents/content/index/69b0444c44d59829d80dfd75","Land register")</f>
        <v/>
      </c>
      <c r="G392" s="149" t="inlineStr">
        <is>
          <t>FOLDER</t>
        </is>
      </c>
      <c r="H392" s="149" t="n"/>
      <c r="I392" s="149" t="inlineStr">
        <is>
          <t>DOWNLOAD</t>
        </is>
      </c>
      <c r="J392" s="149" t="n"/>
      <c r="K392" s="149" t="inlineStr">
        <is>
          <t>Unread</t>
        </is>
      </c>
      <c r="L392" s="152" t="n">
        <v>46176.92764111111</v>
      </c>
      <c r="M392" s="149" t="inlineStr">
        <is>
          <t>69b0444c44d59829d80dfd75</t>
        </is>
      </c>
    </row>
    <row r="393">
      <c r="A393" t="inlineStr">
        <is>
          <t>Project Notos</t>
        </is>
      </c>
      <c r="B393" t="inlineStr">
        <is>
          <t>1.3.4.1.1</t>
        </is>
      </c>
      <c r="C393" s="15" t="inlineStr">
        <is>
          <t>RF_GBA 1776 KG 06117 Neusiedl an der Zaya</t>
        </is>
      </c>
      <c r="D393" s="32" t="inlineStr">
        <is>
          <t>AKR / YBO</t>
        </is>
      </c>
      <c r="F393" s="151">
        <f>HYPERLINK("https://app.global.datasite.com/webviewer/?projectId=696652ec0dc07cc02daa26a0&amp;documentId=69cd07633cd9c2ad7d28e531","RF_GBA 1776 KG 06117 Neusiedl an der Zaya")</f>
        <v/>
      </c>
      <c r="G393" t="inlineStr">
        <is>
          <t>DOCUMENT</t>
        </is>
      </c>
      <c r="H393" t="inlineStr">
        <is>
          <t>pdf</t>
        </is>
      </c>
      <c r="I393" t="inlineStr">
        <is>
          <t>DOWNLOAD</t>
        </is>
      </c>
      <c r="J393" t="n">
        <v>0.10899353</v>
      </c>
      <c r="K393" t="inlineStr">
        <is>
          <t>Read</t>
        </is>
      </c>
      <c r="L393" s="153" t="n">
        <v>46176.92764111111</v>
      </c>
      <c r="M393" t="inlineStr">
        <is>
          <t>69cd07633cd9c2ad7d28e531</t>
        </is>
      </c>
    </row>
    <row r="394">
      <c r="A394" s="149" t="inlineStr">
        <is>
          <t>Project Notos</t>
        </is>
      </c>
      <c r="B394" s="149" t="inlineStr">
        <is>
          <t>1.3.4.2</t>
        </is>
      </c>
      <c r="C394" s="17" t="inlineStr">
        <is>
          <t>Valuation report</t>
        </is>
      </c>
      <c r="D394" s="25" t="n"/>
      <c r="F394" s="150">
        <f>HYPERLINK("https://app.global.datasite.com/platform/container/696652ec0dc07cc02daa26a0/documents/content/index/698cc5bc468b412c79e43aa6","Valuation report")</f>
        <v/>
      </c>
      <c r="G394" s="149" t="inlineStr">
        <is>
          <t>FOLDER</t>
        </is>
      </c>
      <c r="H394" s="149" t="n"/>
      <c r="I394" s="149" t="inlineStr">
        <is>
          <t>DOWNLOAD</t>
        </is>
      </c>
      <c r="J394" s="149" t="n"/>
      <c r="K394" s="149" t="inlineStr">
        <is>
          <t>Unread</t>
        </is>
      </c>
      <c r="L394" s="152" t="n">
        <v>46176.92764111111</v>
      </c>
      <c r="M394" s="149" t="inlineStr">
        <is>
          <t>698cc5bc468b412c79e43aa6</t>
        </is>
      </c>
    </row>
    <row r="395">
      <c r="A395" t="inlineStr">
        <is>
          <t>Project Notos</t>
        </is>
      </c>
      <c r="B395" t="inlineStr">
        <is>
          <t>1.3.4.2.1</t>
        </is>
      </c>
      <c r="C395" s="15" t="inlineStr">
        <is>
          <t>RF_Valuation Report_Neusiedl_250924</t>
        </is>
      </c>
      <c r="D395" s="32" t="inlineStr">
        <is>
          <t>AKR / YBO</t>
        </is>
      </c>
      <c r="F395" s="151">
        <f>HYPERLINK("https://app.global.datasite.com/webviewer/?projectId=696652ec0dc07cc02daa26a0&amp;documentId=698cccc4421afa28831700cc","RF_Valuation Report_Neusiedl_250924")</f>
        <v/>
      </c>
      <c r="G395" t="inlineStr">
        <is>
          <t>DOCUMENT</t>
        </is>
      </c>
      <c r="H395" t="inlineStr">
        <is>
          <t>pdf</t>
        </is>
      </c>
      <c r="I395" t="inlineStr">
        <is>
          <t>DOWNLOAD</t>
        </is>
      </c>
      <c r="J395" t="n">
        <v>8.872189519999999</v>
      </c>
      <c r="K395" t="inlineStr">
        <is>
          <t>Unread</t>
        </is>
      </c>
      <c r="L395" s="153" t="n">
        <v>46176.92764111111</v>
      </c>
      <c r="M395" t="inlineStr">
        <is>
          <t>698cccc4421afa28831700cc</t>
        </is>
      </c>
    </row>
    <row r="396">
      <c r="A396" s="149" t="inlineStr">
        <is>
          <t>Project Notos</t>
        </is>
      </c>
      <c r="B396" s="149" t="inlineStr">
        <is>
          <t>1.3.4.3</t>
        </is>
      </c>
      <c r="C396" s="17" t="inlineStr">
        <is>
          <t>Rental contract</t>
        </is>
      </c>
      <c r="D396" s="25" t="n"/>
      <c r="F396" s="150">
        <f>HYPERLINK("https://app.global.datasite.com/platform/container/696652ec0dc07cc02daa26a0/documents/content/index/69cd07c0d4ee2114935c5eb5","Rental contract")</f>
        <v/>
      </c>
      <c r="G396" s="149" t="inlineStr">
        <is>
          <t>FOLDER</t>
        </is>
      </c>
      <c r="H396" s="149" t="n"/>
      <c r="I396" s="149" t="inlineStr">
        <is>
          <t>DOWNLOAD</t>
        </is>
      </c>
      <c r="J396" s="149" t="n"/>
      <c r="K396" s="149" t="inlineStr">
        <is>
          <t>Unread</t>
        </is>
      </c>
      <c r="L396" s="152" t="n">
        <v>46176.92764111111</v>
      </c>
      <c r="M396" s="149" t="inlineStr">
        <is>
          <t>69cd07c0d4ee2114935c5eb5</t>
        </is>
      </c>
    </row>
    <row r="397">
      <c r="A397" t="inlineStr">
        <is>
          <t>Project Notos</t>
        </is>
      </c>
      <c r="B397" t="inlineStr">
        <is>
          <t>1.3.4.3.1</t>
        </is>
      </c>
      <c r="C397" s="15" t="inlineStr">
        <is>
          <t>RF_sub lease agreement IHE_250101</t>
        </is>
      </c>
      <c r="D397" s="32" t="inlineStr">
        <is>
          <t>AKR / YBO</t>
        </is>
      </c>
      <c r="F397" s="151">
        <f>HYPERLINK("https://app.global.datasite.com/webviewer/?projectId=696652ec0dc07cc02daa26a0&amp;documentId=69bd509975065b28e9b76c4a","RF_sub lease agreement IHE_250101")</f>
        <v/>
      </c>
      <c r="G397" t="inlineStr">
        <is>
          <t>DOCUMENT</t>
        </is>
      </c>
      <c r="H397" t="inlineStr">
        <is>
          <t>pdf</t>
        </is>
      </c>
      <c r="I397" t="inlineStr">
        <is>
          <t>DOWNLOAD</t>
        </is>
      </c>
      <c r="J397" t="n">
        <v>0.57964038</v>
      </c>
      <c r="K397" t="inlineStr">
        <is>
          <t>Unread</t>
        </is>
      </c>
      <c r="L397" s="153" t="n">
        <v>46176.92764111111</v>
      </c>
      <c r="M397" t="inlineStr">
        <is>
          <t>69bd509975065b28e9b76c4a</t>
        </is>
      </c>
    </row>
    <row r="398">
      <c r="A398" s="149" t="inlineStr">
        <is>
          <t>Project Notos</t>
        </is>
      </c>
      <c r="B398" s="149" t="inlineStr">
        <is>
          <t>1.3.5</t>
        </is>
      </c>
      <c r="C398" s="17" t="inlineStr">
        <is>
          <t>Insurance</t>
        </is>
      </c>
      <c r="D398" s="25" t="n"/>
      <c r="F398" s="150">
        <f>HYPERLINK("https://app.global.datasite.com/platform/container/696652ec0dc07cc02daa26a0/documents/content/index/69bd49afde0718c1a05fe254","Insurance")</f>
        <v/>
      </c>
      <c r="G398" s="149" t="inlineStr">
        <is>
          <t>FOLDER</t>
        </is>
      </c>
      <c r="H398" s="149" t="n"/>
      <c r="I398" s="149" t="inlineStr">
        <is>
          <t>DOWNLOAD</t>
        </is>
      </c>
      <c r="J398" s="149" t="n"/>
      <c r="K398" s="149" t="inlineStr">
        <is>
          <t>Unread</t>
        </is>
      </c>
      <c r="L398" s="152" t="n">
        <v>46176.92764111111</v>
      </c>
      <c r="M398" s="149" t="inlineStr">
        <is>
          <t>69bd49afde0718c1a05fe254</t>
        </is>
      </c>
    </row>
    <row r="399">
      <c r="A399" t="inlineStr">
        <is>
          <t>Project Notos</t>
        </is>
      </c>
      <c r="B399" t="inlineStr">
        <is>
          <t>1.3.5.1</t>
        </is>
      </c>
      <c r="C399" s="15" t="inlineStr">
        <is>
          <t>RF_insurance hdi_260303</t>
        </is>
      </c>
      <c r="D399" s="30" t="inlineStr">
        <is>
          <t>DAS</t>
        </is>
      </c>
      <c r="F399" s="151">
        <f>HYPERLINK("https://app.global.datasite.com/webviewer/?projectId=696652ec0dc07cc02daa26a0&amp;documentId=69bd49d10263c4fdde73341d","RF_insurance hdi_260303")</f>
        <v/>
      </c>
      <c r="G399" t="inlineStr">
        <is>
          <t>DOCUMENT</t>
        </is>
      </c>
      <c r="H399" t="inlineStr">
        <is>
          <t>pdf</t>
        </is>
      </c>
      <c r="I399" t="inlineStr">
        <is>
          <t>DOWNLOAD</t>
        </is>
      </c>
      <c r="J399" t="n">
        <v>0.50037765</v>
      </c>
      <c r="K399" t="inlineStr">
        <is>
          <t>Unread</t>
        </is>
      </c>
      <c r="L399" s="153" t="n">
        <v>46176.92764111111</v>
      </c>
      <c r="M399" t="inlineStr">
        <is>
          <t>69bd49d10263c4fdde73341d</t>
        </is>
      </c>
    </row>
    <row r="400">
      <c r="A400" s="149" t="inlineStr">
        <is>
          <t>Project Notos</t>
        </is>
      </c>
      <c r="B400" s="149" t="inlineStr">
        <is>
          <t>1.3.6</t>
        </is>
      </c>
      <c r="C400" s="17" t="inlineStr">
        <is>
          <t>Permits</t>
        </is>
      </c>
      <c r="D400" s="25" t="n"/>
      <c r="F400" s="150">
        <f>HYPERLINK("https://app.global.datasite.com/platform/container/696652ec0dc07cc02daa26a0/documents/content/index/69cf8a00abc410cfaea7bd3f","Permits")</f>
        <v/>
      </c>
      <c r="G400" s="149" t="inlineStr">
        <is>
          <t>FOLDER</t>
        </is>
      </c>
      <c r="H400" s="149" t="n"/>
      <c r="I400" s="149" t="inlineStr">
        <is>
          <t>DOWNLOAD</t>
        </is>
      </c>
      <c r="J400" s="149" t="n"/>
      <c r="K400" s="149" t="inlineStr">
        <is>
          <t>Unread</t>
        </is>
      </c>
      <c r="L400" s="152" t="n">
        <v>46176.92764111111</v>
      </c>
      <c r="M400" s="149" t="inlineStr">
        <is>
          <t>69cf8a00abc410cfaea7bd3f</t>
        </is>
      </c>
    </row>
    <row r="401">
      <c r="A401" t="inlineStr">
        <is>
          <t>Project Notos</t>
        </is>
      </c>
      <c r="B401" t="inlineStr">
        <is>
          <t>1.3.6.1</t>
        </is>
      </c>
      <c r="C401" s="15" t="inlineStr">
        <is>
          <t>RF_12-B-8436_24</t>
        </is>
      </c>
      <c r="D401" s="27" t="inlineStr">
        <is>
          <t>ANI / ANG</t>
        </is>
      </c>
      <c r="F401" s="151">
        <f>HYPERLINK("https://app.global.datasite.com/webviewer/?projectId=696652ec0dc07cc02daa26a0&amp;documentId=69cf8a1407d78f5710ebe0aa","RF_12-B-8436_24")</f>
        <v/>
      </c>
      <c r="G401" t="inlineStr">
        <is>
          <t>DOCUMENT</t>
        </is>
      </c>
      <c r="H401" t="inlineStr">
        <is>
          <t>pdf</t>
        </is>
      </c>
      <c r="I401" t="inlineStr">
        <is>
          <t>DOWNLOAD</t>
        </is>
      </c>
      <c r="J401" t="n">
        <v>0.58456897</v>
      </c>
      <c r="K401" t="inlineStr">
        <is>
          <t>Unread</t>
        </is>
      </c>
      <c r="L401" s="153" t="n">
        <v>46176.92764111111</v>
      </c>
      <c r="M401" t="inlineStr">
        <is>
          <t>69cf8a1407d78f5710ebe0aa</t>
        </is>
      </c>
    </row>
    <row r="402">
      <c r="A402" t="inlineStr">
        <is>
          <t>Project Notos</t>
        </is>
      </c>
      <c r="B402" t="inlineStr">
        <is>
          <t>1.3.6.2</t>
        </is>
      </c>
      <c r="C402" s="15" t="inlineStr">
        <is>
          <t>RF_131_88_Bescheid</t>
        </is>
      </c>
      <c r="D402" s="27" t="inlineStr">
        <is>
          <t>ANI / ANG</t>
        </is>
      </c>
      <c r="F402" s="151">
        <f>HYPERLINK("https://app.global.datasite.com/webviewer/?projectId=696652ec0dc07cc02daa26a0&amp;documentId=69cf8a1407d78f5710ebe0ab","RF_131_88_Bescheid")</f>
        <v/>
      </c>
      <c r="G402" t="inlineStr">
        <is>
          <t>DOCUMENT</t>
        </is>
      </c>
      <c r="H402" t="inlineStr">
        <is>
          <t>pdf</t>
        </is>
      </c>
      <c r="I402" t="inlineStr">
        <is>
          <t>DOWNLOAD</t>
        </is>
      </c>
      <c r="J402" t="n">
        <v>1.78669071</v>
      </c>
      <c r="K402" t="inlineStr">
        <is>
          <t>Unread</t>
        </is>
      </c>
      <c r="L402" s="153" t="n">
        <v>46176.92764111111</v>
      </c>
      <c r="M402" t="inlineStr">
        <is>
          <t>69cf8a1407d78f5710ebe0ab</t>
        </is>
      </c>
    </row>
    <row r="403">
      <c r="A403" t="inlineStr">
        <is>
          <t>Project Notos</t>
        </is>
      </c>
      <c r="B403" t="inlineStr">
        <is>
          <t>1.3.6.3</t>
        </is>
      </c>
      <c r="C403" s="15" t="inlineStr">
        <is>
          <t>RF_131_90_Bescheid</t>
        </is>
      </c>
      <c r="D403" s="27" t="inlineStr">
        <is>
          <t>ANI / ANG</t>
        </is>
      </c>
      <c r="F403" s="151">
        <f>HYPERLINK("https://app.global.datasite.com/webviewer/?projectId=696652ec0dc07cc02daa26a0&amp;documentId=69cf8a1407d78f5710ebe0ac","RF_131_90_Bescheid")</f>
        <v/>
      </c>
      <c r="G403" t="inlineStr">
        <is>
          <t>DOCUMENT</t>
        </is>
      </c>
      <c r="H403" t="inlineStr">
        <is>
          <t>pdf</t>
        </is>
      </c>
      <c r="I403" t="inlineStr">
        <is>
          <t>DOWNLOAD</t>
        </is>
      </c>
      <c r="J403" t="n">
        <v>0.7968311300000001</v>
      </c>
      <c r="K403" t="inlineStr">
        <is>
          <t>Unread</t>
        </is>
      </c>
      <c r="L403" s="153" t="n">
        <v>46176.92764111111</v>
      </c>
      <c r="M403" t="inlineStr">
        <is>
          <t>69cf8a1407d78f5710ebe0ac</t>
        </is>
      </c>
    </row>
    <row r="404">
      <c r="A404" t="inlineStr">
        <is>
          <t>Project Notos</t>
        </is>
      </c>
      <c r="B404" t="inlineStr">
        <is>
          <t>1.3.6.4</t>
        </is>
      </c>
      <c r="C404" s="15" t="inlineStr">
        <is>
          <t>RF_GFW2 BA 04206 005 GFW2 BO 0474 002</t>
        </is>
      </c>
      <c r="D404" s="27" t="inlineStr">
        <is>
          <t>ANI / ANG</t>
        </is>
      </c>
      <c r="F404" s="151">
        <f>HYPERLINK("https://app.global.datasite.com/webviewer/?projectId=696652ec0dc07cc02daa26a0&amp;documentId=69cf8a1407d78f5710ebe0ad","RF_GFW2 BA 04206 005 GFW2 BO 0474 002")</f>
        <v/>
      </c>
      <c r="G404" t="inlineStr">
        <is>
          <t>DOCUMENT</t>
        </is>
      </c>
      <c r="H404" t="inlineStr">
        <is>
          <t>pdf</t>
        </is>
      </c>
      <c r="I404" t="inlineStr">
        <is>
          <t>DOWNLOAD</t>
        </is>
      </c>
      <c r="J404" t="n">
        <v>5.94314289</v>
      </c>
      <c r="K404" t="inlineStr">
        <is>
          <t>Unread</t>
        </is>
      </c>
      <c r="L404" s="153" t="n">
        <v>46176.92764111111</v>
      </c>
      <c r="M404" t="inlineStr">
        <is>
          <t>69cf8a1407d78f5710ebe0ad</t>
        </is>
      </c>
    </row>
    <row r="405">
      <c r="A405" t="inlineStr">
        <is>
          <t>Project Notos</t>
        </is>
      </c>
      <c r="B405" t="inlineStr">
        <is>
          <t>1.3.6.5</t>
        </is>
      </c>
      <c r="C405" s="15" t="inlineStr">
        <is>
          <t>RF_GFW2_BA_04206_006 GFW3_BO_0474_003_B</t>
        </is>
      </c>
      <c r="D405" s="27" t="inlineStr">
        <is>
          <t>ANI / ANG</t>
        </is>
      </c>
      <c r="F405" s="151">
        <f>HYPERLINK("https://app.global.datasite.com/webviewer/?projectId=696652ec0dc07cc02daa26a0&amp;documentId=69cf8a1407d78f5710ebe0af","RF_GFW2_BA_04206_006 GFW3_BO_0474_003_B")</f>
        <v/>
      </c>
      <c r="G405" t="inlineStr">
        <is>
          <t>DOCUMENT</t>
        </is>
      </c>
      <c r="H405" t="inlineStr">
        <is>
          <t>pdf</t>
        </is>
      </c>
      <c r="I405" t="inlineStr">
        <is>
          <t>DOWNLOAD</t>
        </is>
      </c>
      <c r="J405" t="n">
        <v>2.43655872</v>
      </c>
      <c r="K405" t="inlineStr">
        <is>
          <t>Unread</t>
        </is>
      </c>
      <c r="L405" s="153" t="n">
        <v>46176.92764111111</v>
      </c>
      <c r="M405" t="inlineStr">
        <is>
          <t>69cf8a1407d78f5710ebe0af</t>
        </is>
      </c>
    </row>
    <row r="406">
      <c r="A406" t="inlineStr">
        <is>
          <t>Project Notos</t>
        </is>
      </c>
      <c r="B406" t="inlineStr">
        <is>
          <t>1.3.6.6</t>
        </is>
      </c>
      <c r="C406" s="15" t="inlineStr">
        <is>
          <t>RF_GFW2_BA_04206_007_B</t>
        </is>
      </c>
      <c r="D406" s="27" t="inlineStr">
        <is>
          <t>ANI / ANG</t>
        </is>
      </c>
      <c r="F406" s="151">
        <f>HYPERLINK("https://app.global.datasite.com/webviewer/?projectId=696652ec0dc07cc02daa26a0&amp;documentId=69cf8a1407d78f5710ebe0b0","RF_GFW2_BA_04206_007_B")</f>
        <v/>
      </c>
      <c r="G406" t="inlineStr">
        <is>
          <t>DOCUMENT</t>
        </is>
      </c>
      <c r="H406" t="inlineStr">
        <is>
          <t>pdf</t>
        </is>
      </c>
      <c r="I406" t="inlineStr">
        <is>
          <t>DOWNLOAD</t>
        </is>
      </c>
      <c r="J406" t="n">
        <v>0.98945999</v>
      </c>
      <c r="K406" t="inlineStr">
        <is>
          <t>Unread</t>
        </is>
      </c>
      <c r="L406" s="153" t="n">
        <v>46176.92764111111</v>
      </c>
      <c r="M406" t="inlineStr">
        <is>
          <t>69cf8a1407d78f5710ebe0b0</t>
        </is>
      </c>
    </row>
    <row r="407">
      <c r="A407" t="inlineStr">
        <is>
          <t>Project Notos</t>
        </is>
      </c>
      <c r="B407" t="inlineStr">
        <is>
          <t>1.3.6.7</t>
        </is>
      </c>
      <c r="C407" s="15" t="inlineStr">
        <is>
          <t>RF_GFW2-BA-04206_002 V</t>
        </is>
      </c>
      <c r="D407" s="27" t="inlineStr">
        <is>
          <t>ANI / ANG</t>
        </is>
      </c>
      <c r="F407" s="151">
        <f>HYPERLINK("https://app.global.datasite.com/webviewer/?projectId=696652ec0dc07cc02daa26a0&amp;documentId=69cf8a1407d78f5710ebe0b1","RF_GFW2-BA-04206_002 V")</f>
        <v/>
      </c>
      <c r="G407" t="inlineStr">
        <is>
          <t>DOCUMENT</t>
        </is>
      </c>
      <c r="H407" t="inlineStr">
        <is>
          <t>pdf</t>
        </is>
      </c>
      <c r="I407" t="inlineStr">
        <is>
          <t>DOWNLOAD</t>
        </is>
      </c>
      <c r="J407" t="n">
        <v>0.84326744</v>
      </c>
      <c r="K407" t="inlineStr">
        <is>
          <t>Unread</t>
        </is>
      </c>
      <c r="L407" s="153" t="n">
        <v>46176.92764111111</v>
      </c>
      <c r="M407" t="inlineStr">
        <is>
          <t>69cf8a1407d78f5710ebe0b1</t>
        </is>
      </c>
    </row>
    <row r="408">
      <c r="A408" t="inlineStr">
        <is>
          <t>Project Notos</t>
        </is>
      </c>
      <c r="B408" t="inlineStr">
        <is>
          <t>1.3.6.8</t>
        </is>
      </c>
      <c r="C408" s="15" t="inlineStr">
        <is>
          <t>RF_GFW2-BA-04206_003_Bpdf</t>
        </is>
      </c>
      <c r="D408" s="27" t="inlineStr">
        <is>
          <t>ANI / ANG</t>
        </is>
      </c>
      <c r="F408" s="151">
        <f>HYPERLINK("https://app.global.datasite.com/webviewer/?projectId=696652ec0dc07cc02daa26a0&amp;documentId=69cf8a1407d78f5710ebe0b2","RF_GFW2-BA-04206_003_Bpdf")</f>
        <v/>
      </c>
      <c r="G408" t="inlineStr">
        <is>
          <t>DOCUMENT</t>
        </is>
      </c>
      <c r="H408" t="inlineStr">
        <is>
          <t>pdf</t>
        </is>
      </c>
      <c r="I408" t="inlineStr">
        <is>
          <t>DOWNLOAD</t>
        </is>
      </c>
      <c r="J408" t="n">
        <v>2.00827312</v>
      </c>
      <c r="K408" t="inlineStr">
        <is>
          <t>Unread</t>
        </is>
      </c>
      <c r="L408" s="153" t="n">
        <v>46176.92764111111</v>
      </c>
      <c r="M408" t="inlineStr">
        <is>
          <t>69cf8a1407d78f5710ebe0b2</t>
        </is>
      </c>
    </row>
    <row r="409">
      <c r="A409" t="inlineStr">
        <is>
          <t>Project Notos</t>
        </is>
      </c>
      <c r="B409" t="inlineStr">
        <is>
          <t>1.3.6.9</t>
        </is>
      </c>
      <c r="C409" s="15" t="inlineStr">
        <is>
          <t>RF_GFW2-BA-04206_004 20120704 Ergänzungen</t>
        </is>
      </c>
      <c r="D409" s="27" t="inlineStr">
        <is>
          <t>ANI / ANG</t>
        </is>
      </c>
      <c r="F409" s="151">
        <f>HYPERLINK("https://app.global.datasite.com/webviewer/?projectId=696652ec0dc07cc02daa26a0&amp;documentId=69cf8a1407d78f5710ebe0b3","RF_GFW2-BA-04206_004 20120704 Ergänzungen")</f>
        <v/>
      </c>
      <c r="G409" t="inlineStr">
        <is>
          <t>DOCUMENT</t>
        </is>
      </c>
      <c r="H409" t="inlineStr">
        <is>
          <t>pdf</t>
        </is>
      </c>
      <c r="I409" t="inlineStr">
        <is>
          <t>DOWNLOAD</t>
        </is>
      </c>
      <c r="J409" t="n">
        <v>0.24594306</v>
      </c>
      <c r="K409" t="inlineStr">
        <is>
          <t>Unread</t>
        </is>
      </c>
      <c r="L409" s="153" t="n">
        <v>46176.92764111111</v>
      </c>
      <c r="M409" t="inlineStr">
        <is>
          <t>69cf8a1407d78f5710ebe0b3</t>
        </is>
      </c>
    </row>
    <row r="410">
      <c r="A410" t="inlineStr">
        <is>
          <t>Project Notos</t>
        </is>
      </c>
      <c r="B410" t="inlineStr">
        <is>
          <t>1.3.6.10</t>
        </is>
      </c>
      <c r="C410" s="15" t="inlineStr">
        <is>
          <t>RF_GFW2-BA-04206_004 20130415 Zurückziehung</t>
        </is>
      </c>
      <c r="D410" s="27" t="inlineStr">
        <is>
          <t>ANI / ANG</t>
        </is>
      </c>
      <c r="F410" s="151">
        <f>HYPERLINK("https://app.global.datasite.com/webviewer/?projectId=696652ec0dc07cc02daa26a0&amp;documentId=69cf8a1407d78f5710ebe0b4","RF_GFW2-BA-04206_004 20130415 Zurückziehung")</f>
        <v/>
      </c>
      <c r="G410" t="inlineStr">
        <is>
          <t>DOCUMENT</t>
        </is>
      </c>
      <c r="H410" t="inlineStr">
        <is>
          <t>pdf</t>
        </is>
      </c>
      <c r="I410" t="inlineStr">
        <is>
          <t>DOWNLOAD</t>
        </is>
      </c>
      <c r="J410" t="n">
        <v>0.15444374</v>
      </c>
      <c r="K410" t="inlineStr">
        <is>
          <t>Unread</t>
        </is>
      </c>
      <c r="L410" s="153" t="n">
        <v>46176.92764111111</v>
      </c>
      <c r="M410" t="inlineStr">
        <is>
          <t>69cf8a1407d78f5710ebe0b4</t>
        </is>
      </c>
    </row>
    <row r="411">
      <c r="A411" t="inlineStr">
        <is>
          <t>Project Notos</t>
        </is>
      </c>
      <c r="B411" t="inlineStr">
        <is>
          <t>1.3.6.11</t>
        </is>
      </c>
      <c r="C411" s="15" t="inlineStr">
        <is>
          <t>RF_GFW2-BA-04206_008 01 Bescheid</t>
        </is>
      </c>
      <c r="D411" s="27" t="inlineStr">
        <is>
          <t>ANI / ANG</t>
        </is>
      </c>
      <c r="F411" s="151">
        <f>HYPERLINK("https://app.global.datasite.com/webviewer/?projectId=696652ec0dc07cc02daa26a0&amp;documentId=69cf8a1407d78f5710ebe0b5","RF_GFW2-BA-04206_008 01 Bescheid")</f>
        <v/>
      </c>
      <c r="G411" t="inlineStr">
        <is>
          <t>DOCUMENT</t>
        </is>
      </c>
      <c r="H411" t="inlineStr">
        <is>
          <t>pdf</t>
        </is>
      </c>
      <c r="I411" t="inlineStr">
        <is>
          <t>DOWNLOAD</t>
        </is>
      </c>
      <c r="J411" t="n">
        <v>1.47880935</v>
      </c>
      <c r="K411" t="inlineStr">
        <is>
          <t>Unread</t>
        </is>
      </c>
      <c r="L411" s="153" t="n">
        <v>46176.92764111111</v>
      </c>
      <c r="M411" t="inlineStr">
        <is>
          <t>69cf8a1407d78f5710ebe0b5</t>
        </is>
      </c>
    </row>
    <row r="412">
      <c r="A412" t="inlineStr">
        <is>
          <t>Project Notos</t>
        </is>
      </c>
      <c r="B412" t="inlineStr">
        <is>
          <t>1.3.6.12</t>
        </is>
      </c>
      <c r="C412" s="15" t="inlineStr">
        <is>
          <t>RF_XII-G-30_5-1974</t>
        </is>
      </c>
      <c r="D412" s="27" t="inlineStr">
        <is>
          <t>ANI / ANG</t>
        </is>
      </c>
      <c r="F412" s="151">
        <f>HYPERLINK("https://app.global.datasite.com/webviewer/?projectId=696652ec0dc07cc02daa26a0&amp;documentId=69cf8a1407d78f5710ebe0b6","RF_XII-G-30_5-1974")</f>
        <v/>
      </c>
      <c r="G412" t="inlineStr">
        <is>
          <t>DOCUMENT</t>
        </is>
      </c>
      <c r="H412" t="inlineStr">
        <is>
          <t>pdf</t>
        </is>
      </c>
      <c r="I412" t="inlineStr">
        <is>
          <t>DOWNLOAD</t>
        </is>
      </c>
      <c r="J412" t="n">
        <v>0.45953941</v>
      </c>
      <c r="K412" t="inlineStr">
        <is>
          <t>Unread</t>
        </is>
      </c>
      <c r="L412" s="153" t="n">
        <v>46176.92764111111</v>
      </c>
      <c r="M412" t="inlineStr">
        <is>
          <t>69cf8a1407d78f5710ebe0b6</t>
        </is>
      </c>
    </row>
    <row r="413">
      <c r="A413" t="inlineStr">
        <is>
          <t>Project Notos</t>
        </is>
      </c>
      <c r="B413" t="inlineStr">
        <is>
          <t>1.3.6.13</t>
        </is>
      </c>
      <c r="C413" s="15" t="inlineStr">
        <is>
          <t>RF_XII-G-35_3-1973</t>
        </is>
      </c>
      <c r="D413" s="27" t="inlineStr">
        <is>
          <t>ANI / ANG</t>
        </is>
      </c>
      <c r="F413" s="151">
        <f>HYPERLINK("https://app.global.datasite.com/webviewer/?projectId=696652ec0dc07cc02daa26a0&amp;documentId=69cf8a1407d78f5710ebe0b7","RF_XII-G-35_3-1973")</f>
        <v/>
      </c>
      <c r="G413" t="inlineStr">
        <is>
          <t>DOCUMENT</t>
        </is>
      </c>
      <c r="H413" t="inlineStr">
        <is>
          <t>pdf</t>
        </is>
      </c>
      <c r="I413" t="inlineStr">
        <is>
          <t>DOWNLOAD</t>
        </is>
      </c>
      <c r="J413" t="n">
        <v>0.43603801</v>
      </c>
      <c r="K413" t="inlineStr">
        <is>
          <t>Unread</t>
        </is>
      </c>
      <c r="L413" s="153" t="n">
        <v>46176.92764111111</v>
      </c>
      <c r="M413" t="inlineStr">
        <is>
          <t>69cf8a1407d78f5710ebe0b7</t>
        </is>
      </c>
    </row>
    <row r="414">
      <c r="A414" s="149" t="inlineStr">
        <is>
          <t>Project Notos</t>
        </is>
      </c>
      <c r="B414" s="149" t="inlineStr">
        <is>
          <t>1.4</t>
        </is>
      </c>
      <c r="C414" s="17" t="inlineStr">
        <is>
          <t>Fertinger Tubes GmbH (FT)</t>
        </is>
      </c>
      <c r="D414" s="25" t="n"/>
      <c r="F414" s="150">
        <f>HYPERLINK("https://app.global.datasite.com/platform/container/696652ec0dc07cc02daa26a0/documents/content/index/698a2fbacd666bb79588595c","Fertinger Tubes GmbH (FT)")</f>
        <v/>
      </c>
      <c r="G414" s="149" t="inlineStr">
        <is>
          <t>FOLDER</t>
        </is>
      </c>
      <c r="H414" s="149" t="n"/>
      <c r="I414" s="149" t="inlineStr">
        <is>
          <t>DOWNLOAD</t>
        </is>
      </c>
      <c r="J414" s="149" t="n"/>
      <c r="K414" s="149" t="inlineStr">
        <is>
          <t>Unread</t>
        </is>
      </c>
      <c r="L414" s="152" t="n">
        <v>46176.92764111111</v>
      </c>
      <c r="M414" s="149" t="inlineStr">
        <is>
          <t>698a2fbacd666bb79588595c</t>
        </is>
      </c>
    </row>
    <row r="415">
      <c r="A415" s="149" t="inlineStr">
        <is>
          <t>Project Notos</t>
        </is>
      </c>
      <c r="B415" s="149" t="inlineStr">
        <is>
          <t>1.4.1</t>
        </is>
      </c>
      <c r="C415" s="17" t="inlineStr">
        <is>
          <t>Corporate</t>
        </is>
      </c>
      <c r="D415" s="25" t="n"/>
      <c r="F415" s="150">
        <f>HYPERLINK("https://app.global.datasite.com/platform/container/696652ec0dc07cc02daa26a0/documents/content/index/69bd503976174ddbd7b6bc8c","Corporate")</f>
        <v/>
      </c>
      <c r="G415" s="149" t="inlineStr">
        <is>
          <t>FOLDER</t>
        </is>
      </c>
      <c r="H415" s="149" t="n"/>
      <c r="I415" s="149" t="inlineStr">
        <is>
          <t>DOWNLOAD</t>
        </is>
      </c>
      <c r="J415" s="149" t="n"/>
      <c r="K415" s="149" t="inlineStr">
        <is>
          <t>Unread</t>
        </is>
      </c>
      <c r="L415" s="152" t="n">
        <v>46176.92764111111</v>
      </c>
      <c r="M415" s="149" t="inlineStr">
        <is>
          <t>69bd503976174ddbd7b6bc8c</t>
        </is>
      </c>
    </row>
    <row r="416">
      <c r="A416" s="149" t="inlineStr">
        <is>
          <t>Project Notos</t>
        </is>
      </c>
      <c r="B416" s="149" t="inlineStr">
        <is>
          <t>1.4.1.1</t>
        </is>
      </c>
      <c r="C416" s="17" t="inlineStr">
        <is>
          <t>Company register</t>
        </is>
      </c>
      <c r="D416" s="25" t="n"/>
      <c r="F416" s="150">
        <f>HYPERLINK("https://app.global.datasite.com/platform/container/696652ec0dc07cc02daa26a0/documents/content/index/698cb8562f2abbe7bc50f11e","Company register")</f>
        <v/>
      </c>
      <c r="G416" s="149" t="inlineStr">
        <is>
          <t>FOLDER</t>
        </is>
      </c>
      <c r="H416" s="149" t="n"/>
      <c r="I416" s="149" t="inlineStr">
        <is>
          <t>DOWNLOAD</t>
        </is>
      </c>
      <c r="J416" s="149" t="n"/>
      <c r="K416" s="149" t="inlineStr">
        <is>
          <t>Unread</t>
        </is>
      </c>
      <c r="L416" s="152" t="n">
        <v>46176.92764111111</v>
      </c>
      <c r="M416" s="149" t="inlineStr">
        <is>
          <t>698cb8562f2abbe7bc50f11e</t>
        </is>
      </c>
    </row>
    <row r="417">
      <c r="A417" t="inlineStr">
        <is>
          <t>Project Notos</t>
        </is>
      </c>
      <c r="B417" t="inlineStr">
        <is>
          <t>1.4.1.1.1</t>
        </is>
      </c>
      <c r="C417" s="15" t="inlineStr">
        <is>
          <t>FT_commercial register excerpt_chronologically_260223</t>
        </is>
      </c>
      <c r="D417" s="20" t="inlineStr">
        <is>
          <t>Out-of-Scope</t>
        </is>
      </c>
      <c r="F417" s="151">
        <f>HYPERLINK("https://app.global.datasite.com/webviewer/?projectId=696652ec0dc07cc02daa26a0&amp;documentId=69a55e97f70f155eead0a50b","FT_commercial register excerpt_chronologically_260223")</f>
        <v/>
      </c>
      <c r="G417" t="inlineStr">
        <is>
          <t>DOCUMENT</t>
        </is>
      </c>
      <c r="H417" t="inlineStr">
        <is>
          <t>pdf</t>
        </is>
      </c>
      <c r="I417" t="inlineStr">
        <is>
          <t>DOWNLOAD</t>
        </is>
      </c>
      <c r="J417" t="n">
        <v>0.05255222</v>
      </c>
      <c r="K417" t="inlineStr">
        <is>
          <t>Unread</t>
        </is>
      </c>
      <c r="L417" s="153" t="n">
        <v>46176.92764111111</v>
      </c>
      <c r="M417" t="inlineStr">
        <is>
          <t>69a55e97f70f155eead0a50b</t>
        </is>
      </c>
    </row>
    <row r="418">
      <c r="A418" t="inlineStr">
        <is>
          <t>Project Notos</t>
        </is>
      </c>
      <c r="B418" t="inlineStr">
        <is>
          <t>1.4.1.1.2</t>
        </is>
      </c>
      <c r="C418" s="15" t="inlineStr">
        <is>
          <t>FT_commercial register excerpt_historically_260223</t>
        </is>
      </c>
      <c r="D418" s="20" t="inlineStr">
        <is>
          <t>Out-of-Scope</t>
        </is>
      </c>
      <c r="F418" s="151">
        <f>HYPERLINK("https://app.global.datasite.com/webviewer/?projectId=696652ec0dc07cc02daa26a0&amp;documentId=69a55e97f70f155eead0a50c","FT_commercial register excerpt_historically_260223")</f>
        <v/>
      </c>
      <c r="G418" t="inlineStr">
        <is>
          <t>DOCUMENT</t>
        </is>
      </c>
      <c r="H418" t="inlineStr">
        <is>
          <t>pdf</t>
        </is>
      </c>
      <c r="I418" t="inlineStr">
        <is>
          <t>DOWNLOAD</t>
        </is>
      </c>
      <c r="J418" t="n">
        <v>0.16536235</v>
      </c>
      <c r="K418" t="inlineStr">
        <is>
          <t>Unread</t>
        </is>
      </c>
      <c r="L418" s="153" t="n">
        <v>46176.92764111111</v>
      </c>
      <c r="M418" t="inlineStr">
        <is>
          <t>69a55e97f70f155eead0a50c</t>
        </is>
      </c>
    </row>
    <row r="419">
      <c r="A419" s="149" t="inlineStr">
        <is>
          <t>Project Notos</t>
        </is>
      </c>
      <c r="B419" s="149" t="inlineStr">
        <is>
          <t>1.4.1.2</t>
        </is>
      </c>
      <c r="C419" s="17" t="inlineStr">
        <is>
          <t>Articles of association</t>
        </is>
      </c>
      <c r="D419" s="25" t="n"/>
      <c r="F419" s="150">
        <f>HYPERLINK("https://app.global.datasite.com/platform/container/696652ec0dc07cc02daa26a0/documents/content/index/698cb8562f2abbe7bc50f11f","Articles of association")</f>
        <v/>
      </c>
      <c r="G419" s="149" t="inlineStr">
        <is>
          <t>FOLDER</t>
        </is>
      </c>
      <c r="H419" s="149" t="n"/>
      <c r="I419" s="149" t="inlineStr">
        <is>
          <t>DOWNLOAD</t>
        </is>
      </c>
      <c r="J419" s="149" t="n"/>
      <c r="K419" s="149" t="inlineStr">
        <is>
          <t>Unread</t>
        </is>
      </c>
      <c r="L419" s="152" t="n">
        <v>46176.92764111111</v>
      </c>
      <c r="M419" s="149" t="inlineStr">
        <is>
          <t>698cb8562f2abbe7bc50f11f</t>
        </is>
      </c>
    </row>
    <row r="420">
      <c r="A420" t="inlineStr">
        <is>
          <t>Project Notos</t>
        </is>
      </c>
      <c r="B420" t="inlineStr">
        <is>
          <t>1.4.1.2.1</t>
        </is>
      </c>
      <c r="C420" s="15" t="inlineStr">
        <is>
          <t>FT_AoA, incorporation_970505</t>
        </is>
      </c>
      <c r="D420" s="20" t="inlineStr">
        <is>
          <t>Out-of-Scope</t>
        </is>
      </c>
      <c r="F420" s="151">
        <f>HYPERLINK("https://app.global.datasite.com/webviewer/?projectId=696652ec0dc07cc02daa26a0&amp;documentId=69bc1198ce58006b44115dd4","FT_AoA, incorporation_970505")</f>
        <v/>
      </c>
      <c r="G420" t="inlineStr">
        <is>
          <t>DOCUMENT</t>
        </is>
      </c>
      <c r="H420" t="inlineStr">
        <is>
          <t>pdf</t>
        </is>
      </c>
      <c r="I420" t="inlineStr">
        <is>
          <t>DOWNLOAD</t>
        </is>
      </c>
      <c r="J420" t="n">
        <v>1.14947032</v>
      </c>
      <c r="K420" t="inlineStr">
        <is>
          <t>Unread</t>
        </is>
      </c>
      <c r="L420" s="153" t="n">
        <v>46176.92764111111</v>
      </c>
      <c r="M420" t="inlineStr">
        <is>
          <t>69bc1198ce58006b44115dd4</t>
        </is>
      </c>
    </row>
    <row r="421">
      <c r="A421" t="inlineStr">
        <is>
          <t>Project Notos</t>
        </is>
      </c>
      <c r="B421" t="inlineStr">
        <is>
          <t>1.4.1.2.2</t>
        </is>
      </c>
      <c r="C421" s="15" t="inlineStr">
        <is>
          <t>FT_AoA_211006</t>
        </is>
      </c>
      <c r="D421" s="20" t="inlineStr">
        <is>
          <t>Out-of-Scope</t>
        </is>
      </c>
      <c r="F421" s="151">
        <f>HYPERLINK("https://app.global.datasite.com/webviewer/?projectId=696652ec0dc07cc02daa26a0&amp;documentId=698cd9d88fcbcde218d8ede4","FT_AoA_211006")</f>
        <v/>
      </c>
      <c r="G421" t="inlineStr">
        <is>
          <t>DOCUMENT</t>
        </is>
      </c>
      <c r="H421" t="inlineStr">
        <is>
          <t>pdf</t>
        </is>
      </c>
      <c r="I421" t="inlineStr">
        <is>
          <t>DOWNLOAD</t>
        </is>
      </c>
      <c r="J421" t="n">
        <v>0.63928318</v>
      </c>
      <c r="K421" t="inlineStr">
        <is>
          <t>Unread</t>
        </is>
      </c>
      <c r="L421" s="153" t="n">
        <v>46176.92764111111</v>
      </c>
      <c r="M421" t="inlineStr">
        <is>
          <t>698cd9d88fcbcde218d8ede4</t>
        </is>
      </c>
    </row>
    <row r="422">
      <c r="A422" t="inlineStr">
        <is>
          <t>Project Notos</t>
        </is>
      </c>
      <c r="B422" t="inlineStr">
        <is>
          <t>1.4.1.2.3</t>
        </is>
      </c>
      <c r="C422" s="15" t="inlineStr">
        <is>
          <t>FT_AoA_191111</t>
        </is>
      </c>
      <c r="D422" s="20" t="inlineStr">
        <is>
          <t>Out-of-Scope</t>
        </is>
      </c>
      <c r="F422" s="151">
        <f>HYPERLINK("https://app.global.datasite.com/webviewer/?projectId=696652ec0dc07cc02daa26a0&amp;documentId=69a026d474322950d41477b8","FT_AoA_191111")</f>
        <v/>
      </c>
      <c r="G422" t="inlineStr">
        <is>
          <t>DOCUMENT</t>
        </is>
      </c>
      <c r="H422" t="inlineStr">
        <is>
          <t>pdf</t>
        </is>
      </c>
      <c r="I422" t="inlineStr">
        <is>
          <t>DOWNLOAD</t>
        </is>
      </c>
      <c r="J422" t="n">
        <v>0.35571384</v>
      </c>
      <c r="K422" t="inlineStr">
        <is>
          <t>Unread</t>
        </is>
      </c>
      <c r="L422" s="153" t="n">
        <v>46176.92764111111</v>
      </c>
      <c r="M422" t="inlineStr">
        <is>
          <t>69a026d474322950d41477b8</t>
        </is>
      </c>
    </row>
    <row r="423">
      <c r="A423" t="inlineStr">
        <is>
          <t>Project Notos</t>
        </is>
      </c>
      <c r="B423" t="inlineStr">
        <is>
          <t>1.4.1.2.4</t>
        </is>
      </c>
      <c r="C423" s="15" t="inlineStr">
        <is>
          <t>FT_AoA_200813</t>
        </is>
      </c>
      <c r="D423" s="20" t="inlineStr">
        <is>
          <t>Out-of-Scope</t>
        </is>
      </c>
      <c r="F423" s="151">
        <f>HYPERLINK("https://app.global.datasite.com/webviewer/?projectId=696652ec0dc07cc02daa26a0&amp;documentId=69a026d474322950d41477b9","FT_AoA_200813")</f>
        <v/>
      </c>
      <c r="G423" t="inlineStr">
        <is>
          <t>DOCUMENT</t>
        </is>
      </c>
      <c r="H423" t="inlineStr">
        <is>
          <t>pdf</t>
        </is>
      </c>
      <c r="I423" t="inlineStr">
        <is>
          <t>DOWNLOAD</t>
        </is>
      </c>
      <c r="J423" t="n">
        <v>0.33609485</v>
      </c>
      <c r="K423" t="inlineStr">
        <is>
          <t>Unread</t>
        </is>
      </c>
      <c r="L423" s="153" t="n">
        <v>46176.92764111111</v>
      </c>
      <c r="M423" t="inlineStr">
        <is>
          <t>69a026d474322950d41477b9</t>
        </is>
      </c>
    </row>
    <row r="424">
      <c r="A424" t="inlineStr">
        <is>
          <t>Project Notos</t>
        </is>
      </c>
      <c r="B424" t="inlineStr">
        <is>
          <t>1.4.1.2.5</t>
        </is>
      </c>
      <c r="C424" s="15" t="inlineStr">
        <is>
          <t>FT_AoA_201023</t>
        </is>
      </c>
      <c r="D424" s="20" t="inlineStr">
        <is>
          <t>Out-of-Scope</t>
        </is>
      </c>
      <c r="F424" s="151">
        <f>HYPERLINK("https://app.global.datasite.com/webviewer/?projectId=696652ec0dc07cc02daa26a0&amp;documentId=69a026d474322950d41477ba","FT_AoA_201023")</f>
        <v/>
      </c>
      <c r="G424" t="inlineStr">
        <is>
          <t>DOCUMENT</t>
        </is>
      </c>
      <c r="H424" t="inlineStr">
        <is>
          <t>pdf</t>
        </is>
      </c>
      <c r="I424" t="inlineStr">
        <is>
          <t>DOWNLOAD</t>
        </is>
      </c>
      <c r="J424" t="n">
        <v>0.18284034</v>
      </c>
      <c r="K424" t="inlineStr">
        <is>
          <t>Unread</t>
        </is>
      </c>
      <c r="L424" s="153" t="n">
        <v>46176.92764111111</v>
      </c>
      <c r="M424" t="inlineStr">
        <is>
          <t>69a026d474322950d41477ba</t>
        </is>
      </c>
    </row>
    <row r="425">
      <c r="A425" t="inlineStr">
        <is>
          <t>Project Notos</t>
        </is>
      </c>
      <c r="B425" t="inlineStr">
        <is>
          <t>1.4.1.2.6</t>
        </is>
      </c>
      <c r="C425" s="15" t="inlineStr">
        <is>
          <t>FT_AoA_011211</t>
        </is>
      </c>
      <c r="D425" s="20" t="inlineStr">
        <is>
          <t>Out-of-Scope</t>
        </is>
      </c>
      <c r="F425" s="151">
        <f>HYPERLINK("https://app.global.datasite.com/webviewer/?projectId=696652ec0dc07cc02daa26a0&amp;documentId=69bc1198ce58006b44115dd5","FT_AoA_011211")</f>
        <v/>
      </c>
      <c r="G425" t="inlineStr">
        <is>
          <t>DOCUMENT</t>
        </is>
      </c>
      <c r="H425" t="inlineStr">
        <is>
          <t>pdf</t>
        </is>
      </c>
      <c r="I425" t="inlineStr">
        <is>
          <t>DOWNLOAD</t>
        </is>
      </c>
      <c r="J425" t="n">
        <v>1.41233921</v>
      </c>
      <c r="K425" t="inlineStr">
        <is>
          <t>Unread</t>
        </is>
      </c>
      <c r="L425" s="153" t="n">
        <v>46176.92764111111</v>
      </c>
      <c r="M425" t="inlineStr">
        <is>
          <t>69bc1198ce58006b44115dd5</t>
        </is>
      </c>
    </row>
    <row r="426">
      <c r="A426" t="inlineStr">
        <is>
          <t>Project Notos</t>
        </is>
      </c>
      <c r="B426" t="inlineStr">
        <is>
          <t>1.4.1.2.7</t>
        </is>
      </c>
      <c r="C426" s="15" t="inlineStr">
        <is>
          <t>FT_AoA_060828</t>
        </is>
      </c>
      <c r="D426" s="20" t="inlineStr">
        <is>
          <t>Out-of-Scope</t>
        </is>
      </c>
      <c r="F426" s="151">
        <f>HYPERLINK("https://app.global.datasite.com/webviewer/?projectId=696652ec0dc07cc02daa26a0&amp;documentId=69bc1198ce58006b44115dd6","FT_AoA_060828")</f>
        <v/>
      </c>
      <c r="G426" t="inlineStr">
        <is>
          <t>DOCUMENT</t>
        </is>
      </c>
      <c r="H426" t="inlineStr">
        <is>
          <t>pdf</t>
        </is>
      </c>
      <c r="I426" t="inlineStr">
        <is>
          <t>DOWNLOAD</t>
        </is>
      </c>
      <c r="J426" t="n">
        <v>1.2638626</v>
      </c>
      <c r="K426" t="inlineStr">
        <is>
          <t>Unread</t>
        </is>
      </c>
      <c r="L426" s="153" t="n">
        <v>46176.92764111111</v>
      </c>
      <c r="M426" t="inlineStr">
        <is>
          <t>69bc1198ce58006b44115dd6</t>
        </is>
      </c>
    </row>
    <row r="427">
      <c r="A427" t="inlineStr">
        <is>
          <t>Project Notos</t>
        </is>
      </c>
      <c r="B427" t="inlineStr">
        <is>
          <t>1.4.1.2.8</t>
        </is>
      </c>
      <c r="C427" s="15" t="inlineStr">
        <is>
          <t>FT_AoA_970912</t>
        </is>
      </c>
      <c r="D427" s="20" t="inlineStr">
        <is>
          <t>Out-of-Scope</t>
        </is>
      </c>
      <c r="F427" s="151">
        <f>HYPERLINK("https://app.global.datasite.com/webviewer/?projectId=696652ec0dc07cc02daa26a0&amp;documentId=69bc1198ce58006b44115dd7","FT_AoA_970912")</f>
        <v/>
      </c>
      <c r="G427" t="inlineStr">
        <is>
          <t>DOCUMENT</t>
        </is>
      </c>
      <c r="H427" t="inlineStr">
        <is>
          <t>pdf</t>
        </is>
      </c>
      <c r="I427" t="inlineStr">
        <is>
          <t>DOWNLOAD</t>
        </is>
      </c>
      <c r="J427" t="n">
        <v>0.98764228</v>
      </c>
      <c r="K427" t="inlineStr">
        <is>
          <t>Unread</t>
        </is>
      </c>
      <c r="L427" s="153" t="n">
        <v>46176.92764111111</v>
      </c>
      <c r="M427" t="inlineStr">
        <is>
          <t>69bc1198ce58006b44115dd7</t>
        </is>
      </c>
    </row>
    <row r="428">
      <c r="A428" s="149" t="inlineStr">
        <is>
          <t>Project Notos</t>
        </is>
      </c>
      <c r="B428" s="149" t="inlineStr">
        <is>
          <t>1.4.1.3</t>
        </is>
      </c>
      <c r="C428" s="17" t="inlineStr">
        <is>
          <t>Chain of title</t>
        </is>
      </c>
      <c r="D428" s="25" t="n"/>
      <c r="F428" s="150">
        <f>HYPERLINK("https://app.global.datasite.com/platform/container/696652ec0dc07cc02daa26a0/documents/content/index/698cb8562f2abbe7bc50f121","Chain of title")</f>
        <v/>
      </c>
      <c r="G428" s="149" t="inlineStr">
        <is>
          <t>FOLDER</t>
        </is>
      </c>
      <c r="H428" s="149" t="n"/>
      <c r="I428" s="149" t="inlineStr">
        <is>
          <t>DOWNLOAD</t>
        </is>
      </c>
      <c r="J428" s="149" t="n"/>
      <c r="K428" s="149" t="inlineStr">
        <is>
          <t>Unread</t>
        </is>
      </c>
      <c r="L428" s="152" t="n">
        <v>46176.92764111111</v>
      </c>
      <c r="M428" s="149" t="inlineStr">
        <is>
          <t>698cb8562f2abbe7bc50f121</t>
        </is>
      </c>
    </row>
    <row r="429">
      <c r="A429" t="inlineStr">
        <is>
          <t>Project Notos</t>
        </is>
      </c>
      <c r="B429" t="inlineStr">
        <is>
          <t>1.4.1.3.1</t>
        </is>
      </c>
      <c r="C429" s="15" t="inlineStr">
        <is>
          <t>FT_shareholders list_130213</t>
        </is>
      </c>
      <c r="D429" s="20" t="inlineStr">
        <is>
          <t>Out-of-Scope</t>
        </is>
      </c>
      <c r="F429" s="151">
        <f>HYPERLINK("https://app.global.datasite.com/webviewer/?projectId=696652ec0dc07cc02daa26a0&amp;documentId=69a027da6655c3bd4742f2dc","FT_shareholders list_130213")</f>
        <v/>
      </c>
      <c r="G429" t="inlineStr">
        <is>
          <t>DOCUMENT</t>
        </is>
      </c>
      <c r="H429" t="inlineStr">
        <is>
          <t>pdf</t>
        </is>
      </c>
      <c r="I429" t="inlineStr">
        <is>
          <t>DOWNLOAD</t>
        </is>
      </c>
      <c r="J429" t="n">
        <v>0.19689083</v>
      </c>
      <c r="K429" t="inlineStr">
        <is>
          <t>Unread</t>
        </is>
      </c>
      <c r="L429" s="153" t="n">
        <v>46176.92764111111</v>
      </c>
      <c r="M429" t="inlineStr">
        <is>
          <t>69a027da6655c3bd4742f2dc</t>
        </is>
      </c>
    </row>
    <row r="430">
      <c r="A430" t="inlineStr">
        <is>
          <t>Project Notos</t>
        </is>
      </c>
      <c r="B430" t="inlineStr">
        <is>
          <t>1.4.1.3.2</t>
        </is>
      </c>
      <c r="C430" s="15" t="inlineStr">
        <is>
          <t>FT_shareholders list_130328</t>
        </is>
      </c>
      <c r="D430" s="20" t="inlineStr">
        <is>
          <t>Out-of-Scope</t>
        </is>
      </c>
      <c r="F430" s="151">
        <f>HYPERLINK("https://app.global.datasite.com/webviewer/?projectId=696652ec0dc07cc02daa26a0&amp;documentId=69a027da6655c3bd4742f2dd","FT_shareholders list_130328")</f>
        <v/>
      </c>
      <c r="G430" t="inlineStr">
        <is>
          <t>DOCUMENT</t>
        </is>
      </c>
      <c r="H430" t="inlineStr">
        <is>
          <t>pdf</t>
        </is>
      </c>
      <c r="I430" t="inlineStr">
        <is>
          <t>DOWNLOAD</t>
        </is>
      </c>
      <c r="J430" t="n">
        <v>0.20817184</v>
      </c>
      <c r="K430" t="inlineStr">
        <is>
          <t>Unread</t>
        </is>
      </c>
      <c r="L430" s="153" t="n">
        <v>46176.92764111111</v>
      </c>
      <c r="M430" t="inlineStr">
        <is>
          <t>69a027da6655c3bd4742f2dd</t>
        </is>
      </c>
    </row>
    <row r="431">
      <c r="A431" t="inlineStr">
        <is>
          <t>Project Notos</t>
        </is>
      </c>
      <c r="B431" t="inlineStr">
        <is>
          <t>1.4.1.3.3</t>
        </is>
      </c>
      <c r="C431" s="15" t="inlineStr">
        <is>
          <t>FT_shareholders list_140313</t>
        </is>
      </c>
      <c r="D431" s="20" t="inlineStr">
        <is>
          <t>Out-of-Scope</t>
        </is>
      </c>
      <c r="F431" s="151">
        <f>HYPERLINK("https://app.global.datasite.com/webviewer/?projectId=696652ec0dc07cc02daa26a0&amp;documentId=69a027da6655c3bd4742f2de","FT_shareholders list_140313")</f>
        <v/>
      </c>
      <c r="G431" t="inlineStr">
        <is>
          <t>DOCUMENT</t>
        </is>
      </c>
      <c r="H431" t="inlineStr">
        <is>
          <t>pdf</t>
        </is>
      </c>
      <c r="I431" t="inlineStr">
        <is>
          <t>DOWNLOAD</t>
        </is>
      </c>
      <c r="J431" t="n">
        <v>0.1470642</v>
      </c>
      <c r="K431" t="inlineStr">
        <is>
          <t>Unread</t>
        </is>
      </c>
      <c r="L431" s="153" t="n">
        <v>46176.92764111111</v>
      </c>
      <c r="M431" t="inlineStr">
        <is>
          <t>69a027da6655c3bd4742f2de</t>
        </is>
      </c>
    </row>
    <row r="432">
      <c r="A432" t="inlineStr">
        <is>
          <t>Project Notos</t>
        </is>
      </c>
      <c r="B432" t="inlineStr">
        <is>
          <t>1.4.1.3.4</t>
        </is>
      </c>
      <c r="C432" s="15" t="inlineStr">
        <is>
          <t>FT_shareholders list_140306</t>
        </is>
      </c>
      <c r="D432" s="20" t="inlineStr">
        <is>
          <t>Out-of-Scope</t>
        </is>
      </c>
      <c r="F432" s="151">
        <f>HYPERLINK("https://app.global.datasite.com/webviewer/?projectId=696652ec0dc07cc02daa26a0&amp;documentId=69a027da6655c3bd4742f2df","FT_shareholders list_140306")</f>
        <v/>
      </c>
      <c r="G432" t="inlineStr">
        <is>
          <t>DOCUMENT</t>
        </is>
      </c>
      <c r="H432" t="inlineStr">
        <is>
          <t>pdf</t>
        </is>
      </c>
      <c r="I432" t="inlineStr">
        <is>
          <t>DOWNLOAD</t>
        </is>
      </c>
      <c r="J432" t="n">
        <v>0.14517307</v>
      </c>
      <c r="K432" t="inlineStr">
        <is>
          <t>Unread</t>
        </is>
      </c>
      <c r="L432" s="153" t="n">
        <v>46176.92764111111</v>
      </c>
      <c r="M432" t="inlineStr">
        <is>
          <t>69a027da6655c3bd4742f2df</t>
        </is>
      </c>
    </row>
    <row r="433">
      <c r="A433" t="inlineStr">
        <is>
          <t>Project Notos</t>
        </is>
      </c>
      <c r="B433" t="inlineStr">
        <is>
          <t>1.4.1.3.5</t>
        </is>
      </c>
      <c r="C433" s="15" t="inlineStr">
        <is>
          <t>FT_shareholders list_181130</t>
        </is>
      </c>
      <c r="D433" s="20" t="inlineStr">
        <is>
          <t>Out-of-Scope</t>
        </is>
      </c>
      <c r="F433" s="151">
        <f>HYPERLINK("https://app.global.datasite.com/webviewer/?projectId=696652ec0dc07cc02daa26a0&amp;documentId=69a027da6655c3bd4742f2e0","FT_shareholders list_181130")</f>
        <v/>
      </c>
      <c r="G433" t="inlineStr">
        <is>
          <t>DOCUMENT</t>
        </is>
      </c>
      <c r="H433" t="inlineStr">
        <is>
          <t>pdf</t>
        </is>
      </c>
      <c r="I433" t="inlineStr">
        <is>
          <t>DOWNLOAD</t>
        </is>
      </c>
      <c r="J433" t="n">
        <v>0.09429931</v>
      </c>
      <c r="K433" t="inlineStr">
        <is>
          <t>Unread</t>
        </is>
      </c>
      <c r="L433" s="153" t="n">
        <v>46176.92764111111</v>
      </c>
      <c r="M433" t="inlineStr">
        <is>
          <t>69a027da6655c3bd4742f2e0</t>
        </is>
      </c>
    </row>
    <row r="434">
      <c r="A434" t="inlineStr">
        <is>
          <t>Project Notos</t>
        </is>
      </c>
      <c r="B434" t="inlineStr">
        <is>
          <t>1.4.1.3.6</t>
        </is>
      </c>
      <c r="C434" s="15" t="inlineStr">
        <is>
          <t>FT_shareholders list_201023</t>
        </is>
      </c>
      <c r="D434" s="20" t="inlineStr">
        <is>
          <t>Out-of-Scope</t>
        </is>
      </c>
      <c r="F434" s="151">
        <f>HYPERLINK("https://app.global.datasite.com/webviewer/?projectId=696652ec0dc07cc02daa26a0&amp;documentId=69a027da6655c3bd4742f2e1","FT_shareholders list_201023")</f>
        <v/>
      </c>
      <c r="G434" t="inlineStr">
        <is>
          <t>DOCUMENT</t>
        </is>
      </c>
      <c r="H434" t="inlineStr">
        <is>
          <t>pdf</t>
        </is>
      </c>
      <c r="I434" t="inlineStr">
        <is>
          <t>DOWNLOAD</t>
        </is>
      </c>
      <c r="J434" t="n">
        <v>0.09068489</v>
      </c>
      <c r="K434" t="inlineStr">
        <is>
          <t>Unread</t>
        </is>
      </c>
      <c r="L434" s="153" t="n">
        <v>46176.92764111111</v>
      </c>
      <c r="M434" t="inlineStr">
        <is>
          <t>69a027da6655c3bd4742f2e1</t>
        </is>
      </c>
    </row>
    <row r="435">
      <c r="A435" t="inlineStr">
        <is>
          <t>Project Notos</t>
        </is>
      </c>
      <c r="B435" t="inlineStr">
        <is>
          <t>1.4.1.3.7</t>
        </is>
      </c>
      <c r="C435" s="15" t="inlineStr">
        <is>
          <t>FT_shareholders list_210824</t>
        </is>
      </c>
      <c r="D435" s="20" t="inlineStr">
        <is>
          <t>Out-of-Scope</t>
        </is>
      </c>
      <c r="F435" s="151">
        <f>HYPERLINK("https://app.global.datasite.com/webviewer/?projectId=696652ec0dc07cc02daa26a0&amp;documentId=69a027da6655c3bd4742f2e2","FT_shareholders list_210824")</f>
        <v/>
      </c>
      <c r="G435" t="inlineStr">
        <is>
          <t>DOCUMENT</t>
        </is>
      </c>
      <c r="H435" t="inlineStr">
        <is>
          <t>pdf</t>
        </is>
      </c>
      <c r="I435" t="inlineStr">
        <is>
          <t>DOWNLOAD</t>
        </is>
      </c>
      <c r="J435" t="n">
        <v>0.39739799</v>
      </c>
      <c r="K435" t="inlineStr">
        <is>
          <t>Unread</t>
        </is>
      </c>
      <c r="L435" s="153" t="n">
        <v>46176.92764111111</v>
      </c>
      <c r="M435" t="inlineStr">
        <is>
          <t>69a027da6655c3bd4742f2e2</t>
        </is>
      </c>
    </row>
    <row r="436">
      <c r="A436" t="inlineStr">
        <is>
          <t>Project Notos</t>
        </is>
      </c>
      <c r="B436" t="inlineStr">
        <is>
          <t>1.4.1.3.8</t>
        </is>
      </c>
      <c r="C436" s="15" t="inlineStr">
        <is>
          <t>FT_shareholders list_080114</t>
        </is>
      </c>
      <c r="D436" s="20" t="inlineStr">
        <is>
          <t>Out-of-Scope</t>
        </is>
      </c>
      <c r="F436" s="151">
        <f>HYPERLINK("https://app.global.datasite.com/webviewer/?projectId=696652ec0dc07cc02daa26a0&amp;documentId=69a027da6655c3bd4742f2db","FT_shareholders list_080114")</f>
        <v/>
      </c>
      <c r="G436" t="inlineStr">
        <is>
          <t>DOCUMENT</t>
        </is>
      </c>
      <c r="H436" t="inlineStr">
        <is>
          <t>pdf</t>
        </is>
      </c>
      <c r="I436" t="inlineStr">
        <is>
          <t>DOWNLOAD</t>
        </is>
      </c>
      <c r="J436" t="n">
        <v>0.07843493999999999</v>
      </c>
      <c r="K436" t="inlineStr">
        <is>
          <t>Unread</t>
        </is>
      </c>
      <c r="L436" s="153" t="n">
        <v>46176.92764111111</v>
      </c>
      <c r="M436" t="inlineStr">
        <is>
          <t>69a027da6655c3bd4742f2db</t>
        </is>
      </c>
    </row>
    <row r="437">
      <c r="A437" t="inlineStr">
        <is>
          <t>Project Notos</t>
        </is>
      </c>
      <c r="B437" t="inlineStr">
        <is>
          <t>1.4.1.3.9</t>
        </is>
      </c>
      <c r="C437" s="15" t="inlineStr">
        <is>
          <t>FT_SR_consent SPA Schmidt Metal_201021</t>
        </is>
      </c>
      <c r="D437" s="20" t="inlineStr">
        <is>
          <t>Out-of-Scope</t>
        </is>
      </c>
      <c r="F437" s="151">
        <f>HYPERLINK("https://app.global.datasite.com/webviewer/?projectId=696652ec0dc07cc02daa26a0&amp;documentId=69a071c0ce58006b440477d9","FT_SR_consent SPA Schmidt Metal_201021")</f>
        <v/>
      </c>
      <c r="G437" t="inlineStr">
        <is>
          <t>DOCUMENT</t>
        </is>
      </c>
      <c r="H437" t="inlineStr">
        <is>
          <t>pdf</t>
        </is>
      </c>
      <c r="I437" t="inlineStr">
        <is>
          <t>DOWNLOAD</t>
        </is>
      </c>
      <c r="J437" t="n">
        <v>1.9814825</v>
      </c>
      <c r="K437" t="inlineStr">
        <is>
          <t>Unread</t>
        </is>
      </c>
      <c r="L437" s="153" t="n">
        <v>46176.92764111111</v>
      </c>
      <c r="M437" t="inlineStr">
        <is>
          <t>69a071c0ce58006b440477d9</t>
        </is>
      </c>
    </row>
    <row r="438">
      <c r="A438" t="inlineStr">
        <is>
          <t>Project Notos</t>
        </is>
      </c>
      <c r="B438" t="inlineStr">
        <is>
          <t>1.4.1.3.10</t>
        </is>
      </c>
      <c r="C438" s="15" t="inlineStr">
        <is>
          <t>FT_BR_consent SPA Schmidt Metal_201021</t>
        </is>
      </c>
      <c r="D438" s="20" t="inlineStr">
        <is>
          <t>Out-of-Scope</t>
        </is>
      </c>
      <c r="F438" s="151">
        <f>HYPERLINK("https://app.global.datasite.com/webviewer/?projectId=696652ec0dc07cc02daa26a0&amp;documentId=69a071d3ce58006b440477ee","FT_BR_consent SPA Schmidt Metal_201021")</f>
        <v/>
      </c>
      <c r="G438" t="inlineStr">
        <is>
          <t>DOCUMENT</t>
        </is>
      </c>
      <c r="H438" t="inlineStr">
        <is>
          <t>pdf</t>
        </is>
      </c>
      <c r="I438" t="inlineStr">
        <is>
          <t>DOWNLOAD</t>
        </is>
      </c>
      <c r="J438" t="n">
        <v>1.18651771</v>
      </c>
      <c r="K438" t="inlineStr">
        <is>
          <t>Unread</t>
        </is>
      </c>
      <c r="L438" s="153" t="n">
        <v>46176.92764111111</v>
      </c>
      <c r="M438" t="inlineStr">
        <is>
          <t>69a071d3ce58006b440477ee</t>
        </is>
      </c>
    </row>
    <row r="439">
      <c r="A439" t="inlineStr">
        <is>
          <t>Project Notos</t>
        </is>
      </c>
      <c r="B439" t="inlineStr">
        <is>
          <t>1.4.1.3.11</t>
        </is>
      </c>
      <c r="C439" s="15" t="inlineStr">
        <is>
          <t>FT_shareholders list_970505</t>
        </is>
      </c>
      <c r="D439" s="20" t="inlineStr">
        <is>
          <t>Out-of-Scope</t>
        </is>
      </c>
      <c r="F439" s="151">
        <f>HYPERLINK("https://app.global.datasite.com/webviewer/?projectId=696652ec0dc07cc02daa26a0&amp;documentId=69bc1185af3e0c9eeb2ce8a0","FT_shareholders list_970505")</f>
        <v/>
      </c>
      <c r="G439" t="inlineStr">
        <is>
          <t>DOCUMENT</t>
        </is>
      </c>
      <c r="H439" t="inlineStr">
        <is>
          <t>pdf</t>
        </is>
      </c>
      <c r="I439" t="inlineStr">
        <is>
          <t>DOWNLOAD</t>
        </is>
      </c>
      <c r="J439" t="n">
        <v>0.2249155</v>
      </c>
      <c r="K439" t="inlineStr">
        <is>
          <t>Unread</t>
        </is>
      </c>
      <c r="L439" s="153" t="n">
        <v>46176.92764111111</v>
      </c>
      <c r="M439" t="inlineStr">
        <is>
          <t>69bc1185af3e0c9eeb2ce8a0</t>
        </is>
      </c>
    </row>
    <row r="440">
      <c r="A440" t="inlineStr">
        <is>
          <t>Project Notos</t>
        </is>
      </c>
      <c r="B440" t="inlineStr">
        <is>
          <t>1.4.1.3.12</t>
        </is>
      </c>
      <c r="C440" s="15" t="inlineStr">
        <is>
          <t>FT_shareholders list_980211</t>
        </is>
      </c>
      <c r="D440" s="20" t="inlineStr">
        <is>
          <t>Out-of-Scope</t>
        </is>
      </c>
      <c r="F440" s="151">
        <f>HYPERLINK("https://app.global.datasite.com/webviewer/?projectId=696652ec0dc07cc02daa26a0&amp;documentId=69bc1185af3e0c9eeb2ce8a1","FT_shareholders list_980211")</f>
        <v/>
      </c>
      <c r="G440" t="inlineStr">
        <is>
          <t>DOCUMENT</t>
        </is>
      </c>
      <c r="H440" t="inlineStr">
        <is>
          <t>pdf</t>
        </is>
      </c>
      <c r="I440" t="inlineStr">
        <is>
          <t>DOWNLOAD</t>
        </is>
      </c>
      <c r="J440" t="n">
        <v>0.12957382</v>
      </c>
      <c r="K440" t="inlineStr">
        <is>
          <t>Unread</t>
        </is>
      </c>
      <c r="L440" s="153" t="n">
        <v>46176.92764111111</v>
      </c>
      <c r="M440" t="inlineStr">
        <is>
          <t>69bc1185af3e0c9eeb2ce8a1</t>
        </is>
      </c>
    </row>
    <row r="441">
      <c r="A441" t="inlineStr">
        <is>
          <t>Project Notos</t>
        </is>
      </c>
      <c r="B441" t="inlineStr">
        <is>
          <t>1.4.1.3.13</t>
        </is>
      </c>
      <c r="C441" s="15" t="inlineStr">
        <is>
          <t>FT_shareholders list_141230</t>
        </is>
      </c>
      <c r="D441" s="20" t="inlineStr">
        <is>
          <t>Out-of-Scope</t>
        </is>
      </c>
      <c r="F441" s="151">
        <f>HYPERLINK("https://app.global.datasite.com/webviewer/?projectId=696652ec0dc07cc02daa26a0&amp;documentId=69c3c770139d20db65c5bad4","FT_shareholders list_141230")</f>
        <v/>
      </c>
      <c r="G441" t="inlineStr">
        <is>
          <t>DOCUMENT</t>
        </is>
      </c>
      <c r="H441" t="inlineStr">
        <is>
          <t>pdf</t>
        </is>
      </c>
      <c r="I441" t="inlineStr">
        <is>
          <t>DOWNLOAD</t>
        </is>
      </c>
      <c r="J441" t="n">
        <v>0.07411193000000001</v>
      </c>
      <c r="K441" t="inlineStr">
        <is>
          <t>Unread</t>
        </is>
      </c>
      <c r="L441" s="153" t="n">
        <v>46176.92764111111</v>
      </c>
      <c r="M441" t="inlineStr">
        <is>
          <t>69c3c770139d20db65c5bad4</t>
        </is>
      </c>
    </row>
    <row r="442">
      <c r="A442" t="inlineStr">
        <is>
          <t>Project Notos</t>
        </is>
      </c>
      <c r="B442" t="inlineStr">
        <is>
          <t>1.4.1.3.14</t>
        </is>
      </c>
      <c r="C442" s="15" t="inlineStr">
        <is>
          <t>FT_SPA_2657-2014 T_Sapa Holding_141218</t>
        </is>
      </c>
      <c r="D442" s="20" t="inlineStr">
        <is>
          <t>Out-of-Scope</t>
        </is>
      </c>
      <c r="F442" s="151">
        <f>HYPERLINK("https://app.global.datasite.com/webviewer/?projectId=696652ec0dc07cc02daa26a0&amp;documentId=69a029b2ce58006b4404583e","FT_SPA_2657-2014 T_Sapa Holding_141218")</f>
        <v/>
      </c>
      <c r="G442" t="inlineStr">
        <is>
          <t>DOCUMENT</t>
        </is>
      </c>
      <c r="H442" t="inlineStr">
        <is>
          <t>pdf</t>
        </is>
      </c>
      <c r="I442" t="inlineStr">
        <is>
          <t>DOWNLOAD</t>
        </is>
      </c>
      <c r="J442" t="n">
        <v>1.64583301</v>
      </c>
      <c r="K442" t="inlineStr">
        <is>
          <t>Unread</t>
        </is>
      </c>
      <c r="L442" s="153" t="n">
        <v>46176.92764111111</v>
      </c>
      <c r="M442" t="inlineStr">
        <is>
          <t>69a029b2ce58006b4404583e</t>
        </is>
      </c>
    </row>
    <row r="443">
      <c r="A443" t="inlineStr">
        <is>
          <t>Project Notos</t>
        </is>
      </c>
      <c r="B443" t="inlineStr">
        <is>
          <t>1.4.1.3.15</t>
        </is>
      </c>
      <c r="C443" s="15" t="inlineStr">
        <is>
          <t>FT_SR re consent to sale of shares_Sapa Holding_141222</t>
        </is>
      </c>
      <c r="D443" s="20" t="inlineStr">
        <is>
          <t>Out-of-Scope</t>
        </is>
      </c>
      <c r="F443" s="151">
        <f>HYPERLINK("https://app.global.datasite.com/webviewer/?projectId=696652ec0dc07cc02daa26a0&amp;documentId=69a029b2ce58006b4404583f","FT_SR re consent to sale of shares_Sapa Holding_141222")</f>
        <v/>
      </c>
      <c r="G443" t="inlineStr">
        <is>
          <t>DOCUMENT</t>
        </is>
      </c>
      <c r="H443" t="inlineStr">
        <is>
          <t>pdf</t>
        </is>
      </c>
      <c r="I443" t="inlineStr">
        <is>
          <t>DOWNLOAD</t>
        </is>
      </c>
      <c r="J443" t="n">
        <v>0.12318134</v>
      </c>
      <c r="K443" t="inlineStr">
        <is>
          <t>Unread</t>
        </is>
      </c>
      <c r="L443" s="153" t="n">
        <v>46176.92764111111</v>
      </c>
      <c r="M443" t="inlineStr">
        <is>
          <t>69a029b2ce58006b4404583f</t>
        </is>
      </c>
    </row>
    <row r="444">
      <c r="A444" t="inlineStr">
        <is>
          <t>Project Notos</t>
        </is>
      </c>
      <c r="B444" t="inlineStr">
        <is>
          <t>1.4.1.3.16</t>
        </is>
      </c>
      <c r="C444" s="15" t="inlineStr">
        <is>
          <t>FT_SPA_W 1871-2020_Rupert Fertinger_201001</t>
        </is>
      </c>
      <c r="D444" s="20" t="inlineStr">
        <is>
          <t>Out-of-Scope</t>
        </is>
      </c>
      <c r="F444" s="151">
        <f>HYPERLINK("https://app.global.datasite.com/webviewer/?projectId=696652ec0dc07cc02daa26a0&amp;documentId=69a06f760b057a2e2ad5d469","FT_SPA_W 1871-2020_Rupert Fertinger_201001")</f>
        <v/>
      </c>
      <c r="G444" t="inlineStr">
        <is>
          <t>DOCUMENT</t>
        </is>
      </c>
      <c r="H444" t="inlineStr">
        <is>
          <t>pdf</t>
        </is>
      </c>
      <c r="I444" t="inlineStr">
        <is>
          <t>DOWNLOAD</t>
        </is>
      </c>
      <c r="J444" t="n">
        <v>8.49758434</v>
      </c>
      <c r="K444" t="inlineStr">
        <is>
          <t>Unread</t>
        </is>
      </c>
      <c r="L444" s="153" t="n">
        <v>46176.92764111111</v>
      </c>
      <c r="M444" t="inlineStr">
        <is>
          <t>69a06f760b057a2e2ad5d469</t>
        </is>
      </c>
    </row>
    <row r="445">
      <c r="A445" t="inlineStr">
        <is>
          <t>Project Notos</t>
        </is>
      </c>
      <c r="B445" t="inlineStr">
        <is>
          <t>1.4.1.3.17</t>
        </is>
      </c>
      <c r="C445" s="15" t="inlineStr">
        <is>
          <t>FT_STAA_W 2049-2020_201023</t>
        </is>
      </c>
      <c r="D445" s="20" t="inlineStr">
        <is>
          <t>Out-of-Scope</t>
        </is>
      </c>
      <c r="F445" s="151">
        <f>HYPERLINK("https://app.global.datasite.com/webviewer/?projectId=696652ec0dc07cc02daa26a0&amp;documentId=69a070becaf6fb585c1f19d6","FT_STAA_W 2049-2020_201023")</f>
        <v/>
      </c>
      <c r="G445" t="inlineStr">
        <is>
          <t>DOCUMENT</t>
        </is>
      </c>
      <c r="H445" t="inlineStr">
        <is>
          <t>pdf</t>
        </is>
      </c>
      <c r="I445" t="inlineStr">
        <is>
          <t>DOWNLOAD</t>
        </is>
      </c>
      <c r="J445" t="n">
        <v>1.14850616</v>
      </c>
      <c r="K445" t="inlineStr">
        <is>
          <t>Unread</t>
        </is>
      </c>
      <c r="L445" s="153" t="n">
        <v>46176.92764111111</v>
      </c>
      <c r="M445" t="inlineStr">
        <is>
          <t>69a070becaf6fb585c1f19d6</t>
        </is>
      </c>
    </row>
    <row r="446">
      <c r="A446" t="inlineStr">
        <is>
          <t>Project Notos</t>
        </is>
      </c>
      <c r="B446" t="inlineStr">
        <is>
          <t>1.4.1.3.18</t>
        </is>
      </c>
      <c r="C446" s="15" t="inlineStr">
        <is>
          <t>FT_share transfer agreement_140221</t>
        </is>
      </c>
      <c r="D446" s="20" t="inlineStr">
        <is>
          <t>Out-of-Scope</t>
        </is>
      </c>
      <c r="F446" s="151">
        <f>HYPERLINK("https://app.global.datasite.com/webviewer/?projectId=696652ec0dc07cc02daa26a0&amp;documentId=69bd1a4fc52e188afc9a4603","FT_share transfer agreement_140221")</f>
        <v/>
      </c>
      <c r="G446" t="inlineStr">
        <is>
          <t>DOCUMENT</t>
        </is>
      </c>
      <c r="H446" t="inlineStr">
        <is>
          <t>pdf</t>
        </is>
      </c>
      <c r="I446" t="inlineStr">
        <is>
          <t>DOWNLOAD</t>
        </is>
      </c>
      <c r="J446" t="n">
        <v>0.7789011</v>
      </c>
      <c r="K446" t="inlineStr">
        <is>
          <t>Unread</t>
        </is>
      </c>
      <c r="L446" s="153" t="n">
        <v>46176.92764111111</v>
      </c>
      <c r="M446" t="inlineStr">
        <is>
          <t>69bd1a4fc52e188afc9a4603</t>
        </is>
      </c>
    </row>
    <row r="447">
      <c r="A447" s="149" t="inlineStr">
        <is>
          <t>Project Notos</t>
        </is>
      </c>
      <c r="B447" s="149" t="inlineStr">
        <is>
          <t>1.4.1.4</t>
        </is>
      </c>
      <c r="C447" s="17" t="inlineStr">
        <is>
          <t>Company agreements</t>
        </is>
      </c>
      <c r="D447" s="25" t="n"/>
      <c r="F447" s="150">
        <f>HYPERLINK("https://app.global.datasite.com/platform/container/696652ec0dc07cc02daa26a0/documents/content/index/69a01a93dbc47589819a76f8","Company agreements")</f>
        <v/>
      </c>
      <c r="G447" s="149" t="inlineStr">
        <is>
          <t>FOLDER</t>
        </is>
      </c>
      <c r="H447" s="149" t="n"/>
      <c r="I447" s="149" t="inlineStr">
        <is>
          <t>DOWNLOAD</t>
        </is>
      </c>
      <c r="J447" s="149" t="n"/>
      <c r="K447" s="149" t="inlineStr">
        <is>
          <t>Unread</t>
        </is>
      </c>
      <c r="L447" s="152" t="n">
        <v>46176.92764111111</v>
      </c>
      <c r="M447" s="149" t="inlineStr">
        <is>
          <t>69a01a93dbc47589819a76f8</t>
        </is>
      </c>
    </row>
    <row r="448">
      <c r="A448" t="inlineStr">
        <is>
          <t>Project Notos</t>
        </is>
      </c>
      <c r="B448" t="inlineStr">
        <is>
          <t>1.4.1.4.1</t>
        </is>
      </c>
      <c r="C448" s="15" t="inlineStr">
        <is>
          <t>FT_profit transfer agreement_150825</t>
        </is>
      </c>
      <c r="D448" s="20" t="inlineStr">
        <is>
          <t>Out-of-Scope</t>
        </is>
      </c>
      <c r="F448" s="151">
        <f>HYPERLINK("https://app.global.datasite.com/webviewer/?projectId=696652ec0dc07cc02daa26a0&amp;documentId=69a0292c44d59829d806f1f7","FT_profit transfer agreement_150825")</f>
        <v/>
      </c>
      <c r="G448" t="inlineStr">
        <is>
          <t>DOCUMENT</t>
        </is>
      </c>
      <c r="H448" t="inlineStr">
        <is>
          <t>pdf</t>
        </is>
      </c>
      <c r="I448" t="inlineStr">
        <is>
          <t>DOWNLOAD</t>
        </is>
      </c>
      <c r="J448" t="n">
        <v>0.99031925</v>
      </c>
      <c r="K448" t="inlineStr">
        <is>
          <t>Unread</t>
        </is>
      </c>
      <c r="L448" s="153" t="n">
        <v>46176.92764111111</v>
      </c>
      <c r="M448" t="inlineStr">
        <is>
          <t>69a0292c44d59829d806f1f7</t>
        </is>
      </c>
    </row>
    <row r="449">
      <c r="A449" t="inlineStr">
        <is>
          <t>Project Notos</t>
        </is>
      </c>
      <c r="B449" t="inlineStr">
        <is>
          <t>1.4.1.4.2</t>
        </is>
      </c>
      <c r="C449" s="15" t="inlineStr">
        <is>
          <t>FT_termination agreement_200923</t>
        </is>
      </c>
      <c r="D449" s="20" t="inlineStr">
        <is>
          <t>Out-of-Scope</t>
        </is>
      </c>
      <c r="F449" s="151">
        <f>HYPERLINK("https://app.global.datasite.com/webviewer/?projectId=696652ec0dc07cc02daa26a0&amp;documentId=69a0292c44d59829d806f1f8","FT_termination agreement_200923")</f>
        <v/>
      </c>
      <c r="G449" t="inlineStr">
        <is>
          <t>DOCUMENT</t>
        </is>
      </c>
      <c r="H449" t="inlineStr">
        <is>
          <t>pdf</t>
        </is>
      </c>
      <c r="I449" t="inlineStr">
        <is>
          <t>DOWNLOAD</t>
        </is>
      </c>
      <c r="J449" t="n">
        <v>0.34046363</v>
      </c>
      <c r="K449" t="inlineStr">
        <is>
          <t>Unread</t>
        </is>
      </c>
      <c r="L449" s="153" t="n">
        <v>46176.92764111111</v>
      </c>
      <c r="M449" t="inlineStr">
        <is>
          <t>69a0292c44d59829d806f1f8</t>
        </is>
      </c>
    </row>
    <row r="450">
      <c r="A450" t="inlineStr">
        <is>
          <t>Project Notos</t>
        </is>
      </c>
      <c r="B450" t="inlineStr">
        <is>
          <t>1.4.1.4.3</t>
        </is>
      </c>
      <c r="C450" s="15" t="inlineStr">
        <is>
          <t>FT_service agreement_241230</t>
        </is>
      </c>
      <c r="D450" s="20" t="inlineStr">
        <is>
          <t>Out-of-Scope</t>
        </is>
      </c>
      <c r="F450" s="151">
        <f>HYPERLINK("https://app.global.datasite.com/webviewer/?projectId=696652ec0dc07cc02daa26a0&amp;documentId=69bd1935cf69cc9c7d0e32b5","FT_service agreement_241230")</f>
        <v/>
      </c>
      <c r="G450" t="inlineStr">
        <is>
          <t>DOCUMENT</t>
        </is>
      </c>
      <c r="H450" t="inlineStr">
        <is>
          <t>pdf</t>
        </is>
      </c>
      <c r="I450" t="inlineStr">
        <is>
          <t>DOWNLOAD</t>
        </is>
      </c>
      <c r="J450" t="n">
        <v>0.27139186</v>
      </c>
      <c r="K450" t="inlineStr">
        <is>
          <t>Unread</t>
        </is>
      </c>
      <c r="L450" s="153" t="n">
        <v>46176.92764111111</v>
      </c>
      <c r="M450" t="inlineStr">
        <is>
          <t>69bd1935cf69cc9c7d0e32b5</t>
        </is>
      </c>
    </row>
    <row r="451">
      <c r="A451" s="149" t="inlineStr">
        <is>
          <t>Project Notos</t>
        </is>
      </c>
      <c r="B451" s="149" t="inlineStr">
        <is>
          <t>1.4.1.5</t>
        </is>
      </c>
      <c r="C451" s="17" t="inlineStr">
        <is>
          <t>Miscellaneous</t>
        </is>
      </c>
      <c r="D451" s="25" t="n"/>
      <c r="F451" s="150">
        <f>HYPERLINK("https://app.global.datasite.com/platform/container/696652ec0dc07cc02daa26a0/documents/content/index/69a6f167240d271b4cdd6120","Miscellaneous")</f>
        <v/>
      </c>
      <c r="G451" s="149" t="inlineStr">
        <is>
          <t>FOLDER</t>
        </is>
      </c>
      <c r="H451" s="149" t="n"/>
      <c r="I451" s="149" t="inlineStr">
        <is>
          <t>DOWNLOAD</t>
        </is>
      </c>
      <c r="J451" s="149" t="n"/>
      <c r="K451" s="149" t="inlineStr">
        <is>
          <t>Unread</t>
        </is>
      </c>
      <c r="L451" s="152" t="n">
        <v>46176.92764111111</v>
      </c>
      <c r="M451" s="149" t="inlineStr">
        <is>
          <t>69a6f167240d271b4cdd6120</t>
        </is>
      </c>
    </row>
    <row r="452">
      <c r="A452" t="inlineStr">
        <is>
          <t>Project Notos</t>
        </is>
      </c>
      <c r="B452" t="inlineStr">
        <is>
          <t>1.4.1.5.1</t>
        </is>
      </c>
      <c r="C452" s="15" t="inlineStr">
        <is>
          <t>FT_machinery lease_230101</t>
        </is>
      </c>
      <c r="D452" s="20" t="inlineStr">
        <is>
          <t>Out-of-Scope</t>
        </is>
      </c>
      <c r="F452" s="151">
        <f>HYPERLINK("https://app.global.datasite.com/webviewer/?projectId=696652ec0dc07cc02daa26a0&amp;documentId=69bd1946139d20db65baea2f","FT_machinery lease_230101")</f>
        <v/>
      </c>
      <c r="G452" t="inlineStr">
        <is>
          <t>DOCUMENT</t>
        </is>
      </c>
      <c r="H452" t="inlineStr">
        <is>
          <t>pdf</t>
        </is>
      </c>
      <c r="I452" t="inlineStr">
        <is>
          <t>DOWNLOAD</t>
        </is>
      </c>
      <c r="J452" t="n">
        <v>0.8375463399999999</v>
      </c>
      <c r="K452" t="inlineStr">
        <is>
          <t>Unread</t>
        </is>
      </c>
      <c r="L452" s="153" t="n">
        <v>46176.92764111111</v>
      </c>
      <c r="M452" t="inlineStr">
        <is>
          <t>69bd1946139d20db65baea2f</t>
        </is>
      </c>
    </row>
    <row r="453">
      <c r="A453" t="inlineStr">
        <is>
          <t>Project Notos</t>
        </is>
      </c>
      <c r="B453" t="inlineStr">
        <is>
          <t>1.4.1.5.2</t>
        </is>
      </c>
      <c r="C453" s="15" t="inlineStr">
        <is>
          <t>FT_Gewerbe-Ummeldung</t>
        </is>
      </c>
      <c r="D453" s="20" t="inlineStr">
        <is>
          <t>Out-of-Scope</t>
        </is>
      </c>
      <c r="F453" s="151">
        <f>HYPERLINK("https://app.global.datasite.com/webviewer/?projectId=696652ec0dc07cc02daa26a0&amp;documentId=6a155f36e6b328091f4f1e3e","FT_Gewerbe-Ummeldung")</f>
        <v/>
      </c>
      <c r="G453" t="inlineStr">
        <is>
          <t>DOCUMENT</t>
        </is>
      </c>
      <c r="H453" t="inlineStr">
        <is>
          <t>pdf</t>
        </is>
      </c>
      <c r="I453" t="inlineStr">
        <is>
          <t>DOWNLOAD</t>
        </is>
      </c>
      <c r="J453" t="n">
        <v>1.06047725</v>
      </c>
      <c r="K453" t="inlineStr">
        <is>
          <t>Unread</t>
        </is>
      </c>
      <c r="L453" s="153" t="n">
        <v>46176.92764111111</v>
      </c>
      <c r="M453" t="inlineStr">
        <is>
          <t>6a155f36e6b328091f4f1e3e</t>
        </is>
      </c>
    </row>
    <row r="454">
      <c r="A454" s="149" t="inlineStr">
        <is>
          <t>Project Notos</t>
        </is>
      </c>
      <c r="B454" s="149" t="inlineStr">
        <is>
          <t>1.4.1.6</t>
        </is>
      </c>
      <c r="C454" s="17" t="inlineStr">
        <is>
          <t>Shareholder resolutions</t>
        </is>
      </c>
      <c r="D454" s="25" t="n"/>
      <c r="F454" s="150">
        <f>HYPERLINK("https://app.global.datasite.com/platform/container/696652ec0dc07cc02daa26a0/documents/content/index/698cb8562f2abbe7bc50f120","Shareholder resolutions")</f>
        <v/>
      </c>
      <c r="G454" s="149" t="inlineStr">
        <is>
          <t>FOLDER</t>
        </is>
      </c>
      <c r="H454" s="149" t="n"/>
      <c r="I454" s="149" t="inlineStr">
        <is>
          <t>DOWNLOAD</t>
        </is>
      </c>
      <c r="J454" s="149" t="n"/>
      <c r="K454" s="149" t="inlineStr">
        <is>
          <t>Unread</t>
        </is>
      </c>
      <c r="L454" s="152" t="n">
        <v>46176.92764111111</v>
      </c>
      <c r="M454" s="149" t="inlineStr">
        <is>
          <t>698cb8562f2abbe7bc50f120</t>
        </is>
      </c>
    </row>
    <row r="455">
      <c r="A455" t="inlineStr">
        <is>
          <t>Project Notos</t>
        </is>
      </c>
      <c r="B455" t="inlineStr">
        <is>
          <t>1.4.1.6.1</t>
        </is>
      </c>
      <c r="C455" s="15" t="inlineStr">
        <is>
          <t>FT_SR_150806</t>
        </is>
      </c>
      <c r="D455" s="20" t="inlineStr">
        <is>
          <t>Out-of-Scope</t>
        </is>
      </c>
      <c r="F455" s="151">
        <f>HYPERLINK("https://app.global.datasite.com/webviewer/?projectId=696652ec0dc07cc02daa26a0&amp;documentId=69bd19dd2e2f239cf80f897f","FT_SR_150806")</f>
        <v/>
      </c>
      <c r="G455" t="inlineStr">
        <is>
          <t>DOCUMENT</t>
        </is>
      </c>
      <c r="H455" t="inlineStr">
        <is>
          <t>pdf</t>
        </is>
      </c>
      <c r="I455" t="inlineStr">
        <is>
          <t>DOWNLOAD</t>
        </is>
      </c>
      <c r="J455" t="n">
        <v>0.09918594</v>
      </c>
      <c r="K455" t="inlineStr">
        <is>
          <t>Unread</t>
        </is>
      </c>
      <c r="L455" s="153" t="n">
        <v>46176.92764111111</v>
      </c>
      <c r="M455" t="inlineStr">
        <is>
          <t>69bd19dd2e2f239cf80f897f</t>
        </is>
      </c>
    </row>
    <row r="456">
      <c r="A456" t="inlineStr">
        <is>
          <t>Project Notos</t>
        </is>
      </c>
      <c r="B456" t="inlineStr">
        <is>
          <t>1.4.1.6.2</t>
        </is>
      </c>
      <c r="C456" s="15" t="inlineStr">
        <is>
          <t>FT_SR_change of name_171121</t>
        </is>
      </c>
      <c r="D456" s="20" t="inlineStr">
        <is>
          <t>Out-of-Scope</t>
        </is>
      </c>
      <c r="F456" s="151">
        <f>HYPERLINK("https://app.global.datasite.com/webviewer/?projectId=696652ec0dc07cc02daa26a0&amp;documentId=69bd19f0b03e7d31c6a481cb","FT_SR_change of name_171121")</f>
        <v/>
      </c>
      <c r="G456" t="inlineStr">
        <is>
          <t>DOCUMENT</t>
        </is>
      </c>
      <c r="H456" t="inlineStr">
        <is>
          <t>pdf</t>
        </is>
      </c>
      <c r="I456" t="inlineStr">
        <is>
          <t>DOWNLOAD</t>
        </is>
      </c>
      <c r="J456" t="n">
        <v>0.2695465</v>
      </c>
      <c r="K456" t="inlineStr">
        <is>
          <t>Unread</t>
        </is>
      </c>
      <c r="L456" s="153" t="n">
        <v>46176.92764111111</v>
      </c>
      <c r="M456" t="inlineStr">
        <is>
          <t>69bd19f0b03e7d31c6a481cb</t>
        </is>
      </c>
    </row>
    <row r="457">
      <c r="A457" t="inlineStr">
        <is>
          <t>Project Notos</t>
        </is>
      </c>
      <c r="B457" t="inlineStr">
        <is>
          <t>1.4.1.6.3</t>
        </is>
      </c>
      <c r="C457" s="15" t="inlineStr">
        <is>
          <t>FT_SR_site closure_200309</t>
        </is>
      </c>
      <c r="D457" s="20" t="inlineStr">
        <is>
          <t>Out-of-Scope</t>
        </is>
      </c>
      <c r="F457" s="151">
        <f>HYPERLINK("https://app.global.datasite.com/webviewer/?projectId=696652ec0dc07cc02daa26a0&amp;documentId=69a02583f64a7be93c313c82","FT_SR_site closure_200309")</f>
        <v/>
      </c>
      <c r="G457" t="inlineStr">
        <is>
          <t>DOCUMENT</t>
        </is>
      </c>
      <c r="H457" t="inlineStr">
        <is>
          <t>pdf</t>
        </is>
      </c>
      <c r="I457" t="inlineStr">
        <is>
          <t>DOWNLOAD</t>
        </is>
      </c>
      <c r="J457" t="n">
        <v>0.14608955</v>
      </c>
      <c r="K457" t="inlineStr">
        <is>
          <t>Unread</t>
        </is>
      </c>
      <c r="L457" s="153" t="n">
        <v>46176.92764111111</v>
      </c>
      <c r="M457" t="inlineStr">
        <is>
          <t>69a02583f64a7be93c313c82</t>
        </is>
      </c>
    </row>
    <row r="458">
      <c r="A458" t="inlineStr">
        <is>
          <t>Project Notos</t>
        </is>
      </c>
      <c r="B458" t="inlineStr">
        <is>
          <t>1.4.1.6.4</t>
        </is>
      </c>
      <c r="C458" s="15" t="inlineStr">
        <is>
          <t>FT_resignation and release MD_201021</t>
        </is>
      </c>
      <c r="D458" s="20" t="inlineStr">
        <is>
          <t>Out-of-Scope</t>
        </is>
      </c>
      <c r="F458" s="151">
        <f>HYPERLINK("https://app.global.datasite.com/webviewer/?projectId=696652ec0dc07cc02daa26a0&amp;documentId=69a55f83230eb77863f58a12","FT_resignation and release MD_201021")</f>
        <v/>
      </c>
      <c r="G458" t="inlineStr">
        <is>
          <t>DOCUMENT</t>
        </is>
      </c>
      <c r="H458" t="inlineStr">
        <is>
          <t>pdf</t>
        </is>
      </c>
      <c r="I458" t="inlineStr">
        <is>
          <t>DOWNLOAD</t>
        </is>
      </c>
      <c r="J458" t="n">
        <v>0.13175678</v>
      </c>
      <c r="K458" t="inlineStr">
        <is>
          <t>Unread</t>
        </is>
      </c>
      <c r="L458" s="153" t="n">
        <v>46176.92764111111</v>
      </c>
      <c r="M458" t="inlineStr">
        <is>
          <t>69a55f83230eb77863f58a12</t>
        </is>
      </c>
    </row>
    <row r="459">
      <c r="A459" t="inlineStr">
        <is>
          <t>Project Notos</t>
        </is>
      </c>
      <c r="B459" t="inlineStr">
        <is>
          <t>1.4.1.6.5</t>
        </is>
      </c>
      <c r="C459" s="15" t="inlineStr">
        <is>
          <t>FT_SR_change of name_201023</t>
        </is>
      </c>
      <c r="D459" s="20" t="inlineStr">
        <is>
          <t>Out-of-Scope</t>
        </is>
      </c>
      <c r="F459" s="151">
        <f>HYPERLINK("https://app.global.datasite.com/webviewer/?projectId=696652ec0dc07cc02daa26a0&amp;documentId=69a02583f64a7be93c313c7f","FT_SR_change of name_201023")</f>
        <v/>
      </c>
      <c r="G459" t="inlineStr">
        <is>
          <t>DOCUMENT</t>
        </is>
      </c>
      <c r="H459" t="inlineStr">
        <is>
          <t>pdf</t>
        </is>
      </c>
      <c r="I459" t="inlineStr">
        <is>
          <t>DOWNLOAD</t>
        </is>
      </c>
      <c r="J459" t="n">
        <v>0.33872699</v>
      </c>
      <c r="K459" t="inlineStr">
        <is>
          <t>Unread</t>
        </is>
      </c>
      <c r="L459" s="153" t="n">
        <v>46176.92764111111</v>
      </c>
      <c r="M459" t="inlineStr">
        <is>
          <t>69a02583f64a7be93c313c7f</t>
        </is>
      </c>
    </row>
    <row r="460">
      <c r="A460" t="inlineStr">
        <is>
          <t>Project Notos</t>
        </is>
      </c>
      <c r="B460" t="inlineStr">
        <is>
          <t>1.4.1.6.6</t>
        </is>
      </c>
      <c r="C460" s="15" t="inlineStr">
        <is>
          <t>FT_SR_short fiscal year_211006</t>
        </is>
      </c>
      <c r="D460" s="20" t="inlineStr">
        <is>
          <t>Out-of-Scope</t>
        </is>
      </c>
      <c r="F460" s="151">
        <f>HYPERLINK("https://app.global.datasite.com/webviewer/?projectId=696652ec0dc07cc02daa26a0&amp;documentId=69a02583f64a7be93c313c81","FT_SR_short fiscal year_211006")</f>
        <v/>
      </c>
      <c r="G460" t="inlineStr">
        <is>
          <t>DOCUMENT</t>
        </is>
      </c>
      <c r="H460" t="inlineStr">
        <is>
          <t>pdf</t>
        </is>
      </c>
      <c r="I460" t="inlineStr">
        <is>
          <t>DOWNLOAD</t>
        </is>
      </c>
      <c r="J460" t="n">
        <v>1.23120975</v>
      </c>
      <c r="K460" t="inlineStr">
        <is>
          <t>Unread</t>
        </is>
      </c>
      <c r="L460" s="153" t="n">
        <v>46176.92764111111</v>
      </c>
      <c r="M460" t="inlineStr">
        <is>
          <t>69a02583f64a7be93c313c81</t>
        </is>
      </c>
    </row>
    <row r="461">
      <c r="A461" t="inlineStr">
        <is>
          <t>Project Notos</t>
        </is>
      </c>
      <c r="B461" t="inlineStr">
        <is>
          <t>1.4.1.6.7</t>
        </is>
      </c>
      <c r="C461" s="15" t="inlineStr">
        <is>
          <t>FT_SR_220428</t>
        </is>
      </c>
      <c r="D461" s="20" t="inlineStr">
        <is>
          <t>Out-of-Scope</t>
        </is>
      </c>
      <c r="F461" s="151">
        <f>HYPERLINK("https://app.global.datasite.com/webviewer/?projectId=696652ec0dc07cc02daa26a0&amp;documentId=69bd16dccf69cc9c7d0e31a4","FT_SR_220428")</f>
        <v/>
      </c>
      <c r="G461" t="inlineStr">
        <is>
          <t>DOCUMENT</t>
        </is>
      </c>
      <c r="H461" t="inlineStr">
        <is>
          <t>pdf</t>
        </is>
      </c>
      <c r="I461" t="inlineStr">
        <is>
          <t>DOWNLOAD</t>
        </is>
      </c>
      <c r="J461" t="n">
        <v>0.29291248</v>
      </c>
      <c r="K461" t="inlineStr">
        <is>
          <t>Unread</t>
        </is>
      </c>
      <c r="L461" s="153" t="n">
        <v>46176.92764111111</v>
      </c>
      <c r="M461" t="inlineStr">
        <is>
          <t>69bd16dccf69cc9c7d0e31a4</t>
        </is>
      </c>
    </row>
    <row r="462">
      <c r="A462" t="inlineStr">
        <is>
          <t>Project Notos</t>
        </is>
      </c>
      <c r="B462" t="inlineStr">
        <is>
          <t>1.4.1.6.8</t>
        </is>
      </c>
      <c r="C462" s="15" t="inlineStr">
        <is>
          <t>FT_SR_appointment MD_231129</t>
        </is>
      </c>
      <c r="D462" s="20" t="inlineStr">
        <is>
          <t>Out-of-Scope</t>
        </is>
      </c>
      <c r="F462" s="151">
        <f>HYPERLINK("https://app.global.datasite.com/webviewer/?projectId=696652ec0dc07cc02daa26a0&amp;documentId=69a02583f64a7be93c313c80","FT_SR_appointment MD_231129")</f>
        <v/>
      </c>
      <c r="G462" t="inlineStr">
        <is>
          <t>DOCUMENT</t>
        </is>
      </c>
      <c r="H462" t="inlineStr">
        <is>
          <t>pdf</t>
        </is>
      </c>
      <c r="I462" t="inlineStr">
        <is>
          <t>DOWNLOAD</t>
        </is>
      </c>
      <c r="J462" t="n">
        <v>0.41054248</v>
      </c>
      <c r="K462" t="inlineStr">
        <is>
          <t>Unread</t>
        </is>
      </c>
      <c r="L462" s="153" t="n">
        <v>46176.92764111111</v>
      </c>
      <c r="M462" t="inlineStr">
        <is>
          <t>69a02583f64a7be93c313c80</t>
        </is>
      </c>
    </row>
    <row r="463">
      <c r="A463" t="inlineStr">
        <is>
          <t>Project Notos</t>
        </is>
      </c>
      <c r="B463" t="inlineStr">
        <is>
          <t>1.4.1.6.9</t>
        </is>
      </c>
      <c r="C463" s="15" t="inlineStr">
        <is>
          <t>FT_SR_241212</t>
        </is>
      </c>
      <c r="D463" s="20" t="inlineStr">
        <is>
          <t>Out-of-Scope</t>
        </is>
      </c>
      <c r="F463" s="151">
        <f>HYPERLINK("https://app.global.datasite.com/webviewer/?projectId=696652ec0dc07cc02daa26a0&amp;documentId=69bd16dccf69cc9c7d0e31a5","FT_SR_241212")</f>
        <v/>
      </c>
      <c r="G463" t="inlineStr">
        <is>
          <t>DOCUMENT</t>
        </is>
      </c>
      <c r="H463" t="inlineStr">
        <is>
          <t>pdf</t>
        </is>
      </c>
      <c r="I463" t="inlineStr">
        <is>
          <t>DOWNLOAD</t>
        </is>
      </c>
      <c r="J463" t="n">
        <v>0.44129848</v>
      </c>
      <c r="K463" t="inlineStr">
        <is>
          <t>Unread</t>
        </is>
      </c>
      <c r="L463" s="153" t="n">
        <v>46176.92764111111</v>
      </c>
      <c r="M463" t="inlineStr">
        <is>
          <t>69bd16dccf69cc9c7d0e31a5</t>
        </is>
      </c>
    </row>
    <row r="464">
      <c r="A464" t="inlineStr">
        <is>
          <t>Project Notos</t>
        </is>
      </c>
      <c r="B464" t="inlineStr">
        <is>
          <t>1.4.1.6.10</t>
        </is>
      </c>
      <c r="C464" s="15" t="inlineStr">
        <is>
          <t>FT_SR_250916</t>
        </is>
      </c>
      <c r="D464" s="20" t="inlineStr">
        <is>
          <t>Out-of-Scope</t>
        </is>
      </c>
      <c r="F464" s="151">
        <f>HYPERLINK("https://app.global.datasite.com/webviewer/?projectId=696652ec0dc07cc02daa26a0&amp;documentId=69bd19cf7f48566a39cf64ee","FT_SR_250916")</f>
        <v/>
      </c>
      <c r="G464" t="inlineStr">
        <is>
          <t>DOCUMENT</t>
        </is>
      </c>
      <c r="H464" t="inlineStr">
        <is>
          <t>pdf</t>
        </is>
      </c>
      <c r="I464" t="inlineStr">
        <is>
          <t>DOWNLOAD</t>
        </is>
      </c>
      <c r="J464" t="n">
        <v>0.06693172</v>
      </c>
      <c r="K464" t="inlineStr">
        <is>
          <t>Unread</t>
        </is>
      </c>
      <c r="L464" s="153" t="n">
        <v>46176.92764111111</v>
      </c>
      <c r="M464" t="inlineStr">
        <is>
          <t>69bd19cf7f48566a39cf64ee</t>
        </is>
      </c>
    </row>
    <row r="465">
      <c r="A465" s="149" t="inlineStr">
        <is>
          <t>Project Notos</t>
        </is>
      </c>
      <c r="B465" s="149" t="inlineStr">
        <is>
          <t>1.4.2</t>
        </is>
      </c>
      <c r="C465" s="17" t="inlineStr">
        <is>
          <t>Commercial</t>
        </is>
      </c>
      <c r="D465" s="25" t="n"/>
      <c r="F465" s="150">
        <f>HYPERLINK("https://app.global.datasite.com/platform/container/696652ec0dc07cc02daa26a0/documents/content/index/69bd17eacbf7144146ad322e","Commercial")</f>
        <v/>
      </c>
      <c r="G465" s="149" t="inlineStr">
        <is>
          <t>FOLDER</t>
        </is>
      </c>
      <c r="H465" s="149" t="n"/>
      <c r="I465" s="149" t="inlineStr">
        <is>
          <t>DOWNLOAD</t>
        </is>
      </c>
      <c r="J465" s="149" t="n"/>
      <c r="K465" s="149" t="inlineStr">
        <is>
          <t>Unread</t>
        </is>
      </c>
      <c r="L465" s="152" t="n">
        <v>46176.92764111111</v>
      </c>
      <c r="M465" s="149" t="inlineStr">
        <is>
          <t>69bd17eacbf7144146ad322e</t>
        </is>
      </c>
    </row>
    <row r="466">
      <c r="A466" s="149" t="inlineStr">
        <is>
          <t>Project Notos</t>
        </is>
      </c>
      <c r="B466" s="149" t="inlineStr">
        <is>
          <t>1.4.2.1</t>
        </is>
      </c>
      <c r="C466" s="17" t="inlineStr">
        <is>
          <t>General Terms and Conditions</t>
        </is>
      </c>
      <c r="D466" s="25" t="n"/>
      <c r="F466" s="150">
        <f>HYPERLINK("https://app.global.datasite.com/platform/container/696652ec0dc07cc02daa26a0/documents/content/index/69bd50f17f48566a39cf9012","General Terms and Conditions")</f>
        <v/>
      </c>
      <c r="G466" s="149" t="inlineStr">
        <is>
          <t>FOLDER</t>
        </is>
      </c>
      <c r="H466" s="149" t="n"/>
      <c r="I466" s="149" t="inlineStr">
        <is>
          <t>DOWNLOAD</t>
        </is>
      </c>
      <c r="J466" s="149" t="n"/>
      <c r="K466" s="149" t="inlineStr">
        <is>
          <t>Unread</t>
        </is>
      </c>
      <c r="L466" s="152" t="n">
        <v>46176.92764111111</v>
      </c>
      <c r="M466" s="149" t="inlineStr">
        <is>
          <t>69bd50f17f48566a39cf9012</t>
        </is>
      </c>
    </row>
    <row r="467">
      <c r="A467" t="inlineStr">
        <is>
          <t>Project Notos</t>
        </is>
      </c>
      <c r="B467" t="inlineStr">
        <is>
          <t>1.4.2.1.1</t>
        </is>
      </c>
      <c r="C467" s="15" t="inlineStr">
        <is>
          <t>FT_general terms and conditions of sale</t>
        </is>
      </c>
      <c r="D467" s="20" t="inlineStr">
        <is>
          <t>Out-of-Scope</t>
        </is>
      </c>
      <c r="F467" s="151">
        <f>HYPERLINK("https://app.global.datasite.com/webviewer/?projectId=696652ec0dc07cc02daa26a0&amp;documentId=69bd17fe0263c4fdde73230c","FT_general terms and conditions of sale")</f>
        <v/>
      </c>
      <c r="G467" t="inlineStr">
        <is>
          <t>DOCUMENT</t>
        </is>
      </c>
      <c r="H467" t="inlineStr">
        <is>
          <t>pdf</t>
        </is>
      </c>
      <c r="I467" t="inlineStr">
        <is>
          <t>DOWNLOAD</t>
        </is>
      </c>
      <c r="J467" t="n">
        <v>0.21816921</v>
      </c>
      <c r="K467" t="inlineStr">
        <is>
          <t>Unread</t>
        </is>
      </c>
      <c r="L467" s="153" t="n">
        <v>46176.92764111111</v>
      </c>
      <c r="M467" t="inlineStr">
        <is>
          <t>69bd17fe0263c4fdde73230c</t>
        </is>
      </c>
    </row>
    <row r="468">
      <c r="A468" s="149" t="inlineStr">
        <is>
          <t>Project Notos</t>
        </is>
      </c>
      <c r="B468" s="149" t="inlineStr">
        <is>
          <t>1.4.3</t>
        </is>
      </c>
      <c r="C468" s="17" t="inlineStr">
        <is>
          <t>Financing</t>
        </is>
      </c>
      <c r="D468" s="25" t="n"/>
      <c r="F468" s="150">
        <f>HYPERLINK("https://app.global.datasite.com/platform/container/696652ec0dc07cc02daa26a0/documents/content/index/69bd17057f48566a39cf6359","Financing")</f>
        <v/>
      </c>
      <c r="G468" s="149" t="inlineStr">
        <is>
          <t>FOLDER</t>
        </is>
      </c>
      <c r="H468" s="149" t="n"/>
      <c r="I468" s="149" t="inlineStr">
        <is>
          <t>DOWNLOAD</t>
        </is>
      </c>
      <c r="J468" s="149" t="n"/>
      <c r="K468" s="149" t="inlineStr">
        <is>
          <t>Unread</t>
        </is>
      </c>
      <c r="L468" s="152" t="n">
        <v>46176.92764111111</v>
      </c>
      <c r="M468" s="149" t="inlineStr">
        <is>
          <t>69bd17057f48566a39cf6359</t>
        </is>
      </c>
    </row>
    <row r="469">
      <c r="A469" s="149" t="inlineStr">
        <is>
          <t>Project Notos</t>
        </is>
      </c>
      <c r="B469" s="149" t="inlineStr">
        <is>
          <t>1.4.3.1</t>
        </is>
      </c>
      <c r="C469" s="17" t="inlineStr">
        <is>
          <t>UniCredit</t>
        </is>
      </c>
      <c r="D469" s="25" t="n"/>
      <c r="F469" s="150">
        <f>HYPERLINK("https://app.global.datasite.com/platform/container/696652ec0dc07cc02daa26a0/documents/content/index/69f1d5bda550900a09f0723c","UniCredit")</f>
        <v/>
      </c>
      <c r="G469" s="149" t="inlineStr">
        <is>
          <t>FOLDER</t>
        </is>
      </c>
      <c r="H469" s="149" t="n"/>
      <c r="I469" s="149" t="inlineStr">
        <is>
          <t>DOWNLOAD</t>
        </is>
      </c>
      <c r="J469" s="149" t="n"/>
      <c r="K469" s="149" t="inlineStr">
        <is>
          <t>Unread</t>
        </is>
      </c>
      <c r="L469" s="152" t="n">
        <v>46176.92764111111</v>
      </c>
      <c r="M469" s="149" t="inlineStr">
        <is>
          <t>69f1d5bda550900a09f0723c</t>
        </is>
      </c>
    </row>
    <row r="470">
      <c r="A470" t="inlineStr">
        <is>
          <t>Project Notos</t>
        </is>
      </c>
      <c r="B470" t="inlineStr">
        <is>
          <t>1.4.3.1.1</t>
        </is>
      </c>
      <c r="C470" s="15" t="inlineStr">
        <is>
          <t>FT_loan agreement unicredit_220712</t>
        </is>
      </c>
      <c r="D470" s="20" t="inlineStr">
        <is>
          <t>Out-of-Scope</t>
        </is>
      </c>
      <c r="F470" s="151">
        <f>HYPERLINK("https://app.global.datasite.com/webviewer/?projectId=696652ec0dc07cc02daa26a0&amp;documentId=69bd171d2e2f239cf80f87b0","FT_loan agreement unicredit_220712")</f>
        <v/>
      </c>
      <c r="G470" t="inlineStr">
        <is>
          <t>DOCUMENT</t>
        </is>
      </c>
      <c r="H470" t="inlineStr">
        <is>
          <t>pdf</t>
        </is>
      </c>
      <c r="I470" t="inlineStr">
        <is>
          <t>DOWNLOAD</t>
        </is>
      </c>
      <c r="J470" t="n">
        <v>0.77738475</v>
      </c>
      <c r="K470" t="inlineStr">
        <is>
          <t>Unread</t>
        </is>
      </c>
      <c r="L470" s="153" t="n">
        <v>46176.92764111111</v>
      </c>
      <c r="M470" t="inlineStr">
        <is>
          <t>69bd171d2e2f239cf80f87b0</t>
        </is>
      </c>
    </row>
    <row r="471">
      <c r="A471" t="inlineStr">
        <is>
          <t>Project Notos</t>
        </is>
      </c>
      <c r="B471" t="inlineStr">
        <is>
          <t>1.4.3.1.2</t>
        </is>
      </c>
      <c r="C471" s="15" t="inlineStr">
        <is>
          <t>FT_loan agreement unicredit_230113</t>
        </is>
      </c>
      <c r="D471" s="20" t="inlineStr">
        <is>
          <t>Out-of-Scope</t>
        </is>
      </c>
      <c r="F471" s="151">
        <f>HYPERLINK("https://app.global.datasite.com/webviewer/?projectId=696652ec0dc07cc02daa26a0&amp;documentId=69bd171d2e2f239cf80f87b1","FT_loan agreement unicredit_230113")</f>
        <v/>
      </c>
      <c r="G471" t="inlineStr">
        <is>
          <t>DOCUMENT</t>
        </is>
      </c>
      <c r="H471" t="inlineStr">
        <is>
          <t>pdf</t>
        </is>
      </c>
      <c r="I471" t="inlineStr">
        <is>
          <t>DOWNLOAD</t>
        </is>
      </c>
      <c r="J471" t="n">
        <v>5.8905487</v>
      </c>
      <c r="K471" t="inlineStr">
        <is>
          <t>Unread</t>
        </is>
      </c>
      <c r="L471" s="153" t="n">
        <v>46176.92764111111</v>
      </c>
      <c r="M471" t="inlineStr">
        <is>
          <t>69bd171d2e2f239cf80f87b1</t>
        </is>
      </c>
    </row>
    <row r="472">
      <c r="A472" t="inlineStr">
        <is>
          <t>Project Notos</t>
        </is>
      </c>
      <c r="B472" t="inlineStr">
        <is>
          <t>1.4.3.1.3</t>
        </is>
      </c>
      <c r="C472" s="15" t="inlineStr">
        <is>
          <t>FT_addendum to loan agreement unicredit_240923</t>
        </is>
      </c>
      <c r="D472" s="20" t="inlineStr">
        <is>
          <t>Out-of-Scope</t>
        </is>
      </c>
      <c r="F472" s="151">
        <f>HYPERLINK("https://app.global.datasite.com/webviewer/?projectId=696652ec0dc07cc02daa26a0&amp;documentId=69bd171d2e2f239cf80f87af","FT_addendum to loan agreement unicredit_240923")</f>
        <v/>
      </c>
      <c r="G472" t="inlineStr">
        <is>
          <t>DOCUMENT</t>
        </is>
      </c>
      <c r="H472" t="inlineStr">
        <is>
          <t>pdf</t>
        </is>
      </c>
      <c r="I472" t="inlineStr">
        <is>
          <t>DOWNLOAD</t>
        </is>
      </c>
      <c r="J472" t="n">
        <v>0.30113983</v>
      </c>
      <c r="K472" t="inlineStr">
        <is>
          <t>Unread</t>
        </is>
      </c>
      <c r="L472" s="153" t="n">
        <v>46176.92764111111</v>
      </c>
      <c r="M472" t="inlineStr">
        <is>
          <t>69bd171d2e2f239cf80f87af</t>
        </is>
      </c>
    </row>
    <row r="473" ht="30" customHeight="1" s="148">
      <c r="A473" s="149" t="inlineStr">
        <is>
          <t>Project Notos</t>
        </is>
      </c>
      <c r="B473" s="149" t="inlineStr">
        <is>
          <t>1.4.3.2</t>
        </is>
      </c>
      <c r="C473" s="17" t="inlineStr">
        <is>
          <t>Commerzbank</t>
        </is>
      </c>
      <c r="D473" s="25" t="n"/>
      <c r="F473" s="150">
        <f>HYPERLINK("https://app.global.datasite.com/platform/container/696652ec0dc07cc02daa26a0/documents/content/index/69f1d5dfcb2887c11b42bb2c","Commerzbank")</f>
        <v/>
      </c>
      <c r="G473" s="149" t="inlineStr">
        <is>
          <t>FOLDER</t>
        </is>
      </c>
      <c r="H473" s="149" t="n"/>
      <c r="I473" s="149" t="inlineStr">
        <is>
          <t>DOWNLOAD</t>
        </is>
      </c>
      <c r="J473" s="149" t="n"/>
      <c r="K473" s="149" t="inlineStr">
        <is>
          <t>Unread</t>
        </is>
      </c>
      <c r="L473" s="152" t="n">
        <v>46176.92764111111</v>
      </c>
      <c r="M473" s="149" t="inlineStr">
        <is>
          <t>69f1d5dfcb2887c11b42bb2c</t>
        </is>
      </c>
    </row>
    <row r="474">
      <c r="A474" t="inlineStr">
        <is>
          <t>Project Notos</t>
        </is>
      </c>
      <c r="B474" t="inlineStr">
        <is>
          <t>1.4.3.2.1</t>
        </is>
      </c>
      <c r="C474" s="15" t="inlineStr">
        <is>
          <t>FT_bank guarantee lease_250521</t>
        </is>
      </c>
      <c r="D474" s="20" t="inlineStr">
        <is>
          <t>Out-of-Scope</t>
        </is>
      </c>
      <c r="F474" s="151">
        <f>HYPERLINK("https://app.global.datasite.com/webviewer/?projectId=696652ec0dc07cc02daa26a0&amp;documentId=69bd175175065b28e9b73613","FT_bank guarantee lease_250521")</f>
        <v/>
      </c>
      <c r="G474" t="inlineStr">
        <is>
          <t>DOCUMENT</t>
        </is>
      </c>
      <c r="H474" t="inlineStr">
        <is>
          <t>pdf</t>
        </is>
      </c>
      <c r="I474" t="inlineStr">
        <is>
          <t>DOWNLOAD</t>
        </is>
      </c>
      <c r="J474" t="n">
        <v>0.26886367</v>
      </c>
      <c r="K474" t="inlineStr">
        <is>
          <t>Unread</t>
        </is>
      </c>
      <c r="L474" s="153" t="n">
        <v>46176.92764111111</v>
      </c>
      <c r="M474" t="inlineStr">
        <is>
          <t>69bd175175065b28e9b73613</t>
        </is>
      </c>
    </row>
    <row r="475">
      <c r="A475" s="149" t="inlineStr">
        <is>
          <t>Project Notos</t>
        </is>
      </c>
      <c r="B475" s="149" t="inlineStr">
        <is>
          <t>1.4.4</t>
        </is>
      </c>
      <c r="C475" s="17" t="inlineStr">
        <is>
          <t>Employment</t>
        </is>
      </c>
      <c r="D475" s="25" t="n"/>
      <c r="F475" s="150">
        <f>HYPERLINK("https://app.global.datasite.com/platform/container/696652ec0dc07cc02daa26a0/documents/content/index/698cc527f0199a4713d0c5bb","Employment")</f>
        <v/>
      </c>
      <c r="G475" s="149" t="inlineStr">
        <is>
          <t>FOLDER</t>
        </is>
      </c>
      <c r="H475" s="149" t="n"/>
      <c r="I475" s="149" t="inlineStr">
        <is>
          <t>DOWNLOAD</t>
        </is>
      </c>
      <c r="J475" s="149" t="n"/>
      <c r="K475" s="149" t="inlineStr">
        <is>
          <t>Unread</t>
        </is>
      </c>
      <c r="L475" s="152" t="n">
        <v>46176.92764111111</v>
      </c>
      <c r="M475" s="149" t="inlineStr">
        <is>
          <t>698cc527f0199a4713d0c5bb</t>
        </is>
      </c>
    </row>
    <row r="476">
      <c r="A476" s="149" t="inlineStr">
        <is>
          <t>Project Notos</t>
        </is>
      </c>
      <c r="B476" s="149" t="inlineStr">
        <is>
          <t>1.4.4.1</t>
        </is>
      </c>
      <c r="C476" s="17" t="inlineStr">
        <is>
          <t>Sample employment contracts</t>
        </is>
      </c>
      <c r="D476" s="25" t="n"/>
      <c r="F476" s="150">
        <f>HYPERLINK("https://app.global.datasite.com/platform/container/696652ec0dc07cc02daa26a0/documents/content/index/69bd18cd76174ddbd7b69a6c","Sample employment contracts")</f>
        <v/>
      </c>
      <c r="G476" s="149" t="inlineStr">
        <is>
          <t>FOLDER</t>
        </is>
      </c>
      <c r="H476" s="149" t="n"/>
      <c r="I476" s="149" t="inlineStr">
        <is>
          <t>DOWNLOAD</t>
        </is>
      </c>
      <c r="J476" s="149" t="n"/>
      <c r="K476" s="149" t="inlineStr">
        <is>
          <t>Unread</t>
        </is>
      </c>
      <c r="L476" s="152" t="n">
        <v>46176.92764111111</v>
      </c>
      <c r="M476" s="149" t="inlineStr">
        <is>
          <t>69bd18cd76174ddbd7b69a6c</t>
        </is>
      </c>
    </row>
    <row r="477" ht="30" customHeight="1" s="148">
      <c r="A477" t="inlineStr">
        <is>
          <t>Project Notos</t>
        </is>
      </c>
      <c r="B477" t="inlineStr">
        <is>
          <t>1.4.4.1.1</t>
        </is>
      </c>
      <c r="C477" s="15" t="inlineStr">
        <is>
          <t>FT_employment agreement template DIR</t>
        </is>
      </c>
      <c r="D477" s="20" t="inlineStr">
        <is>
          <t>Out-of-Scope</t>
        </is>
      </c>
      <c r="F477" s="151">
        <f>HYPERLINK("https://app.global.datasite.com/webviewer/?projectId=696652ec0dc07cc02daa26a0&amp;documentId=69bd1833139d20db65baea08","FT_employment agreement template DIR")</f>
        <v/>
      </c>
      <c r="G477" t="inlineStr">
        <is>
          <t>DOCUMENT</t>
        </is>
      </c>
      <c r="H477" t="inlineStr">
        <is>
          <t>pdf</t>
        </is>
      </c>
      <c r="I477" t="inlineStr">
        <is>
          <t>DOWNLOAD</t>
        </is>
      </c>
      <c r="J477" t="n">
        <v>0.23960208</v>
      </c>
      <c r="K477" t="inlineStr">
        <is>
          <t>Unread</t>
        </is>
      </c>
      <c r="L477" s="153" t="n">
        <v>46176.92764111111</v>
      </c>
      <c r="M477" t="inlineStr">
        <is>
          <t>69bd1833139d20db65baea08</t>
        </is>
      </c>
    </row>
    <row r="478">
      <c r="A478" t="inlineStr">
        <is>
          <t>Project Notos</t>
        </is>
      </c>
      <c r="B478" t="inlineStr">
        <is>
          <t>1.4.4.1.2</t>
        </is>
      </c>
      <c r="C478" s="15" t="inlineStr">
        <is>
          <t>FT_employment agreement template OH</t>
        </is>
      </c>
      <c r="D478" s="20" t="inlineStr">
        <is>
          <t>Out-of-Scope</t>
        </is>
      </c>
      <c r="F478" s="151">
        <f>HYPERLINK("https://app.global.datasite.com/webviewer/?projectId=696652ec0dc07cc02daa26a0&amp;documentId=69bd1833139d20db65baea09","FT_employment agreement template OH")</f>
        <v/>
      </c>
      <c r="G478" t="inlineStr">
        <is>
          <t>DOCUMENT</t>
        </is>
      </c>
      <c r="H478" t="inlineStr">
        <is>
          <t>pdf</t>
        </is>
      </c>
      <c r="I478" t="inlineStr">
        <is>
          <t>DOWNLOAD</t>
        </is>
      </c>
      <c r="J478" t="n">
        <v>0.23877716</v>
      </c>
      <c r="K478" t="inlineStr">
        <is>
          <t>Unread</t>
        </is>
      </c>
      <c r="L478" s="153" t="n">
        <v>46176.92764111111</v>
      </c>
      <c r="M478" t="inlineStr">
        <is>
          <t>69bd1833139d20db65baea09</t>
        </is>
      </c>
    </row>
    <row r="479">
      <c r="A479" s="149" t="inlineStr">
        <is>
          <t>Project Notos</t>
        </is>
      </c>
      <c r="B479" s="149" t="inlineStr">
        <is>
          <t>1.4.4.2</t>
        </is>
      </c>
      <c r="C479" s="17" t="inlineStr">
        <is>
          <t>Works agreements</t>
        </is>
      </c>
      <c r="D479" s="25" t="n"/>
      <c r="F479" s="150">
        <f>HYPERLINK("https://app.global.datasite.com/platform/container/696652ec0dc07cc02daa26a0/documents/content/index/69cd109fda202feec6097eda","Works agreements")</f>
        <v/>
      </c>
      <c r="G479" s="149" t="inlineStr">
        <is>
          <t>FOLDER</t>
        </is>
      </c>
      <c r="H479" s="149" t="n"/>
      <c r="I479" s="149" t="inlineStr">
        <is>
          <t>DOWNLOAD</t>
        </is>
      </c>
      <c r="J479" s="149" t="n"/>
      <c r="K479" s="149" t="inlineStr">
        <is>
          <t>Unread</t>
        </is>
      </c>
      <c r="L479" s="152" t="n">
        <v>46176.92764111111</v>
      </c>
      <c r="M479" s="149" t="inlineStr">
        <is>
          <t>69cd109fda202feec6097eda</t>
        </is>
      </c>
    </row>
    <row r="480">
      <c r="A480" t="inlineStr">
        <is>
          <t>Project Notos</t>
        </is>
      </c>
      <c r="B480" t="inlineStr">
        <is>
          <t>1.4.4.2.1</t>
        </is>
      </c>
      <c r="C480" s="15" t="inlineStr">
        <is>
          <t>FT_agreement on holiday planning_241023</t>
        </is>
      </c>
      <c r="D480" s="20" t="inlineStr">
        <is>
          <t>Out-of-Scope</t>
        </is>
      </c>
      <c r="F480" s="151">
        <f>HYPERLINK("https://app.global.datasite.com/webviewer/?projectId=696652ec0dc07cc02daa26a0&amp;documentId=69bd1888ec74eaf0ce095cd5","FT_agreement on holiday planning_241023")</f>
        <v/>
      </c>
      <c r="G480" t="inlineStr">
        <is>
          <t>DOCUMENT</t>
        </is>
      </c>
      <c r="H480" t="inlineStr">
        <is>
          <t>pdf</t>
        </is>
      </c>
      <c r="I480" t="inlineStr">
        <is>
          <t>DOWNLOAD</t>
        </is>
      </c>
      <c r="J480" t="n">
        <v>1.118927</v>
      </c>
      <c r="K480" t="inlineStr">
        <is>
          <t>Unread</t>
        </is>
      </c>
      <c r="L480" s="153" t="n">
        <v>46176.92764111111</v>
      </c>
      <c r="M480" t="inlineStr">
        <is>
          <t>69bd1888ec74eaf0ce095cd5</t>
        </is>
      </c>
    </row>
    <row r="481">
      <c r="A481" t="inlineStr">
        <is>
          <t>Project Notos</t>
        </is>
      </c>
      <c r="B481" t="inlineStr">
        <is>
          <t>1.4.4.2.2</t>
        </is>
      </c>
      <c r="C481" s="15" t="inlineStr">
        <is>
          <t>FT_agreement on mobile work_231221</t>
        </is>
      </c>
      <c r="D481" s="20" t="inlineStr">
        <is>
          <t>Out-of-Scope</t>
        </is>
      </c>
      <c r="F481" s="151">
        <f>HYPERLINK("https://app.global.datasite.com/webviewer/?projectId=696652ec0dc07cc02daa26a0&amp;documentId=69bd1888ec74eaf0ce095cd7","FT_agreement on mobile work_231221")</f>
        <v/>
      </c>
      <c r="G481" t="inlineStr">
        <is>
          <t>DOCUMENT</t>
        </is>
      </c>
      <c r="H481" t="inlineStr">
        <is>
          <t>pdf</t>
        </is>
      </c>
      <c r="I481" t="inlineStr">
        <is>
          <t>DOWNLOAD</t>
        </is>
      </c>
      <c r="J481" t="n">
        <v>2.23557758</v>
      </c>
      <c r="K481" t="inlineStr">
        <is>
          <t>Unread</t>
        </is>
      </c>
      <c r="L481" s="153" t="n">
        <v>46176.92764111111</v>
      </c>
      <c r="M481" t="inlineStr">
        <is>
          <t>69bd1888ec74eaf0ce095cd7</t>
        </is>
      </c>
    </row>
    <row r="482">
      <c r="A482" t="inlineStr">
        <is>
          <t>Project Notos</t>
        </is>
      </c>
      <c r="B482" t="inlineStr">
        <is>
          <t>1.4.4.2.3</t>
        </is>
      </c>
      <c r="C482" s="15" t="inlineStr">
        <is>
          <t>FT_agreement on short-time work_251205</t>
        </is>
      </c>
      <c r="D482" s="20" t="inlineStr">
        <is>
          <t>Out-of-Scope</t>
        </is>
      </c>
      <c r="F482" s="151">
        <f>HYPERLINK("https://app.global.datasite.com/webviewer/?projectId=696652ec0dc07cc02daa26a0&amp;documentId=69bd1888ec74eaf0ce095cd8","FT_agreement on short-time work_251205")</f>
        <v/>
      </c>
      <c r="G482" t="inlineStr">
        <is>
          <t>DOCUMENT</t>
        </is>
      </c>
      <c r="H482" t="inlineStr">
        <is>
          <t>pdf</t>
        </is>
      </c>
      <c r="I482" t="inlineStr">
        <is>
          <t>DOWNLOAD</t>
        </is>
      </c>
      <c r="J482" t="n">
        <v>0.94143486</v>
      </c>
      <c r="K482" t="inlineStr">
        <is>
          <t>Unread</t>
        </is>
      </c>
      <c r="L482" s="153" t="n">
        <v>46176.92764111111</v>
      </c>
      <c r="M482" t="inlineStr">
        <is>
          <t>69bd1888ec74eaf0ce095cd8</t>
        </is>
      </c>
    </row>
    <row r="483">
      <c r="A483" t="inlineStr">
        <is>
          <t>Project Notos</t>
        </is>
      </c>
      <c r="B483" t="inlineStr">
        <is>
          <t>1.4.4.2.4</t>
        </is>
      </c>
      <c r="C483" s="15" t="inlineStr">
        <is>
          <t>FT_agreement on work clothing_250904</t>
        </is>
      </c>
      <c r="D483" s="20" t="inlineStr">
        <is>
          <t>Out-of-Scope</t>
        </is>
      </c>
      <c r="F483" s="151">
        <f>HYPERLINK("https://app.global.datasite.com/webviewer/?projectId=696652ec0dc07cc02daa26a0&amp;documentId=69bd1888ec74eaf0ce095cd6","FT_agreement on work clothing_250904")</f>
        <v/>
      </c>
      <c r="G483" t="inlineStr">
        <is>
          <t>DOCUMENT</t>
        </is>
      </c>
      <c r="H483" t="inlineStr">
        <is>
          <t>pdf</t>
        </is>
      </c>
      <c r="I483" t="inlineStr">
        <is>
          <t>DOWNLOAD</t>
        </is>
      </c>
      <c r="J483" t="n">
        <v>0.58048248</v>
      </c>
      <c r="K483" t="inlineStr">
        <is>
          <t>Unread</t>
        </is>
      </c>
      <c r="L483" s="153" t="n">
        <v>46176.92764111111</v>
      </c>
      <c r="M483" t="inlineStr">
        <is>
          <t>69bd1888ec74eaf0ce095cd6</t>
        </is>
      </c>
    </row>
    <row r="484">
      <c r="A484" s="149" t="inlineStr">
        <is>
          <t>Project Notos</t>
        </is>
      </c>
      <c r="B484" s="149" t="inlineStr">
        <is>
          <t>1.4.4.3</t>
        </is>
      </c>
      <c r="C484" s="17" t="inlineStr">
        <is>
          <t>Company agreements</t>
        </is>
      </c>
      <c r="D484" s="25" t="n"/>
      <c r="F484" s="150">
        <f>HYPERLINK("https://app.global.datasite.com/platform/container/696652ec0dc07cc02daa26a0/documents/content/index/69cf7390633c08861583e8cc","Company agreements")</f>
        <v/>
      </c>
      <c r="G484" s="149" t="inlineStr">
        <is>
          <t>FOLDER</t>
        </is>
      </c>
      <c r="H484" s="149" t="n"/>
      <c r="I484" s="149" t="inlineStr">
        <is>
          <t>DOWNLOAD</t>
        </is>
      </c>
      <c r="J484" s="149" t="n"/>
      <c r="K484" s="149" t="inlineStr">
        <is>
          <t>Unread</t>
        </is>
      </c>
      <c r="L484" s="152" t="n">
        <v>46176.92764111111</v>
      </c>
      <c r="M484" s="149" t="inlineStr">
        <is>
          <t>69cf7390633c08861583e8cc</t>
        </is>
      </c>
    </row>
    <row r="485">
      <c r="A485" t="inlineStr">
        <is>
          <t>Project Notos</t>
        </is>
      </c>
      <c r="B485" t="inlineStr">
        <is>
          <t>1.4.4.3.1</t>
        </is>
      </c>
      <c r="C485" s="15" t="inlineStr">
        <is>
          <t>FT_works agreement on short-term work 2026</t>
        </is>
      </c>
      <c r="D485" s="20" t="inlineStr">
        <is>
          <t>Out-of-Scope</t>
        </is>
      </c>
      <c r="F485" s="151">
        <f>HYPERLINK("https://app.global.datasite.com/webviewer/?projectId=696652ec0dc07cc02daa26a0&amp;documentId=69cf73a921a5f7112206beb4","FT_works agreement on short-term work 2026")</f>
        <v/>
      </c>
      <c r="G485" t="inlineStr">
        <is>
          <t>DOCUMENT</t>
        </is>
      </c>
      <c r="H485" t="inlineStr">
        <is>
          <t>pdf</t>
        </is>
      </c>
      <c r="I485" t="inlineStr">
        <is>
          <t>DOWNLOAD</t>
        </is>
      </c>
      <c r="J485" t="n">
        <v>0.94002723</v>
      </c>
      <c r="K485" t="inlineStr">
        <is>
          <t>Unread</t>
        </is>
      </c>
      <c r="L485" s="153" t="n">
        <v>46176.92764111111</v>
      </c>
      <c r="M485" t="inlineStr">
        <is>
          <t>69cf73a921a5f7112206beb4</t>
        </is>
      </c>
    </row>
    <row r="486">
      <c r="A486" t="inlineStr">
        <is>
          <t>Project Notos</t>
        </is>
      </c>
      <c r="B486" t="inlineStr">
        <is>
          <t>1.4.4.3.2</t>
        </is>
      </c>
      <c r="C486" s="15" t="inlineStr">
        <is>
          <t>FT_works agreement_vacation planning new 20241023</t>
        </is>
      </c>
      <c r="D486" s="20" t="inlineStr">
        <is>
          <t>Out-of-Scope</t>
        </is>
      </c>
      <c r="F486" s="151">
        <f>HYPERLINK("https://app.global.datasite.com/webviewer/?projectId=696652ec0dc07cc02daa26a0&amp;documentId=69cf73a921a5f7112206beb5","FT_works agreement_vacation planning new 20241023")</f>
        <v/>
      </c>
      <c r="G486" t="inlineStr">
        <is>
          <t>DOCUMENT</t>
        </is>
      </c>
      <c r="H486" t="inlineStr">
        <is>
          <t>pdf</t>
        </is>
      </c>
      <c r="I486" t="inlineStr">
        <is>
          <t>DOWNLOAD</t>
        </is>
      </c>
      <c r="J486" t="n">
        <v>1.11868858</v>
      </c>
      <c r="K486" t="inlineStr">
        <is>
          <t>Unread</t>
        </is>
      </c>
      <c r="L486" s="153" t="n">
        <v>46176.92764111111</v>
      </c>
      <c r="M486" t="inlineStr">
        <is>
          <t>69cf73a921a5f7112206beb5</t>
        </is>
      </c>
    </row>
    <row r="487">
      <c r="A487" t="inlineStr">
        <is>
          <t>Project Notos</t>
        </is>
      </c>
      <c r="B487" t="inlineStr">
        <is>
          <t>1.4.4.3.3</t>
        </is>
      </c>
      <c r="C487" s="15" t="inlineStr">
        <is>
          <t>FT_works agreement_work clothing valid_20250904</t>
        </is>
      </c>
      <c r="D487" s="20" t="inlineStr">
        <is>
          <t>Out-of-Scope</t>
        </is>
      </c>
      <c r="F487" s="151">
        <f>HYPERLINK("https://app.global.datasite.com/webviewer/?projectId=696652ec0dc07cc02daa26a0&amp;documentId=69cf73a921a5f7112206beb6","FT_works agreement_work clothing valid_20250904")</f>
        <v/>
      </c>
      <c r="G487" t="inlineStr">
        <is>
          <t>DOCUMENT</t>
        </is>
      </c>
      <c r="H487" t="inlineStr">
        <is>
          <t>pdf</t>
        </is>
      </c>
      <c r="I487" t="inlineStr">
        <is>
          <t>DOWNLOAD</t>
        </is>
      </c>
      <c r="J487" t="n">
        <v>0.58025932</v>
      </c>
      <c r="K487" t="inlineStr">
        <is>
          <t>Unread</t>
        </is>
      </c>
      <c r="L487" s="153" t="n">
        <v>46176.92764111111</v>
      </c>
      <c r="M487" t="inlineStr">
        <is>
          <t>69cf73a921a5f7112206beb6</t>
        </is>
      </c>
    </row>
    <row r="488">
      <c r="A488" t="inlineStr">
        <is>
          <t>Project Notos</t>
        </is>
      </c>
      <c r="B488" t="inlineStr">
        <is>
          <t>1.4.4.3.4</t>
        </is>
      </c>
      <c r="C488" s="15" t="inlineStr">
        <is>
          <t>FT_signed work agreement_mobile work</t>
        </is>
      </c>
      <c r="D488" s="20" t="inlineStr">
        <is>
          <t>Out-of-Scope</t>
        </is>
      </c>
      <c r="F488" s="151">
        <f>HYPERLINK("https://app.global.datasite.com/webviewer/?projectId=696652ec0dc07cc02daa26a0&amp;documentId=69cf73a921a5f7112206beb7","FT_signed work agreement_mobile work")</f>
        <v/>
      </c>
      <c r="G488" t="inlineStr">
        <is>
          <t>DOCUMENT</t>
        </is>
      </c>
      <c r="H488" t="inlineStr">
        <is>
          <t>pdf</t>
        </is>
      </c>
      <c r="I488" t="inlineStr">
        <is>
          <t>DOWNLOAD</t>
        </is>
      </c>
      <c r="J488" t="n">
        <v>2.23327541</v>
      </c>
      <c r="K488" t="inlineStr">
        <is>
          <t>Unread</t>
        </is>
      </c>
      <c r="L488" s="153" t="n">
        <v>46176.92764111111</v>
      </c>
      <c r="M488" t="inlineStr">
        <is>
          <t>69cf73a921a5f7112206beb7</t>
        </is>
      </c>
    </row>
    <row r="489">
      <c r="A489" s="149" t="inlineStr">
        <is>
          <t>Project Notos</t>
        </is>
      </c>
      <c r="B489" s="149" t="inlineStr">
        <is>
          <t>1.4.4.4</t>
        </is>
      </c>
      <c r="C489" s="17" t="inlineStr">
        <is>
          <t>Data protection officer</t>
        </is>
      </c>
      <c r="D489" s="25" t="n"/>
      <c r="F489" s="150">
        <f>HYPERLINK("https://app.global.datasite.com/platform/container/696652ec0dc07cc02daa26a0/documents/content/index/69cf7af6633c08861583e993","Data protection officer")</f>
        <v/>
      </c>
      <c r="G489" s="149" t="inlineStr">
        <is>
          <t>FOLDER</t>
        </is>
      </c>
      <c r="H489" s="149" t="n"/>
      <c r="I489" s="149" t="inlineStr">
        <is>
          <t>DOWNLOAD</t>
        </is>
      </c>
      <c r="J489" s="149" t="n"/>
      <c r="K489" s="149" t="inlineStr">
        <is>
          <t>Unread</t>
        </is>
      </c>
      <c r="L489" s="152" t="n">
        <v>46176.92764111111</v>
      </c>
      <c r="M489" s="149" t="inlineStr">
        <is>
          <t>69cf7af6633c08861583e993</t>
        </is>
      </c>
    </row>
    <row r="490">
      <c r="A490" t="inlineStr">
        <is>
          <t>Project Notos</t>
        </is>
      </c>
      <c r="B490" t="inlineStr">
        <is>
          <t>1.4.4.4.1</t>
        </is>
      </c>
      <c r="C490" s="15" t="inlineStr">
        <is>
          <t>Datenschutzbeauftragter</t>
        </is>
      </c>
      <c r="D490" s="20" t="inlineStr">
        <is>
          <t>Out-of-Scope</t>
        </is>
      </c>
      <c r="F490" s="151">
        <f>HYPERLINK("https://app.global.datasite.com/webviewer/?projectId=696652ec0dc07cc02daa26a0&amp;documentId=69cf7b28e7d2926ece8a55d9","Datenschutzbeauftragter")</f>
        <v/>
      </c>
      <c r="G490" t="inlineStr">
        <is>
          <t>DOCUMENT</t>
        </is>
      </c>
      <c r="H490" t="inlineStr">
        <is>
          <t>xlsx</t>
        </is>
      </c>
      <c r="I490" t="inlineStr">
        <is>
          <t>DOWNLOAD</t>
        </is>
      </c>
      <c r="J490" t="n">
        <v>0.00738239</v>
      </c>
      <c r="K490" t="inlineStr">
        <is>
          <t>Unread</t>
        </is>
      </c>
      <c r="L490" s="153" t="n">
        <v>46176.92764111111</v>
      </c>
      <c r="M490" t="inlineStr">
        <is>
          <t>69cf7b28e7d2926ece8a55d9</t>
        </is>
      </c>
    </row>
    <row r="491">
      <c r="A491" s="149" t="inlineStr">
        <is>
          <t>Project Notos</t>
        </is>
      </c>
      <c r="B491" s="149" t="inlineStr">
        <is>
          <t>1.4.4.5</t>
        </is>
      </c>
      <c r="C491" s="17" t="inlineStr">
        <is>
          <t>List of personnel</t>
        </is>
      </c>
      <c r="D491" s="25" t="n"/>
      <c r="F491" s="150">
        <f>HYPERLINK("https://app.global.datasite.com/platform/container/696652ec0dc07cc02daa26a0/documents/content/index/69e23aa82bf69c939bdda112","List of personnel")</f>
        <v/>
      </c>
      <c r="G491" s="149" t="inlineStr">
        <is>
          <t>FOLDER</t>
        </is>
      </c>
      <c r="H491" s="149" t="n"/>
      <c r="I491" s="149" t="inlineStr">
        <is>
          <t>DOWNLOAD</t>
        </is>
      </c>
      <c r="J491" s="149" t="n"/>
      <c r="K491" s="149" t="inlineStr">
        <is>
          <t>Unread</t>
        </is>
      </c>
      <c r="L491" s="152" t="n">
        <v>46176.92764111111</v>
      </c>
      <c r="M491" s="149" t="inlineStr">
        <is>
          <t>69e23aa82bf69c939bdda112</t>
        </is>
      </c>
    </row>
    <row r="492">
      <c r="A492" s="3" t="inlineStr">
        <is>
          <t>Project Notos</t>
        </is>
      </c>
      <c r="B492" s="3" t="inlineStr">
        <is>
          <t>1.4.4.5.1</t>
        </is>
      </c>
      <c r="C492" s="18" t="inlineStr">
        <is>
          <t>To come</t>
        </is>
      </c>
      <c r="D492" s="26" t="n"/>
      <c r="F492" s="3" t="inlineStr">
        <is>
          <t>To come</t>
        </is>
      </c>
      <c r="G492" s="3" t="inlineStr">
        <is>
          <t>PLACEHOLDER</t>
        </is>
      </c>
      <c r="H492" s="3" t="n"/>
      <c r="I492" s="3" t="inlineStr">
        <is>
          <t>DOWNLOAD</t>
        </is>
      </c>
      <c r="J492" s="3" t="n"/>
      <c r="K492" s="3" t="inlineStr">
        <is>
          <t>Unread</t>
        </is>
      </c>
      <c r="L492" s="9" t="n">
        <v>46176.92764111111</v>
      </c>
      <c r="M492" s="3" t="inlineStr">
        <is>
          <t>69f25258179c1406da21cbdf</t>
        </is>
      </c>
    </row>
    <row r="493">
      <c r="A493" s="149" t="inlineStr">
        <is>
          <t>Project Notos</t>
        </is>
      </c>
      <c r="B493" s="149" t="inlineStr">
        <is>
          <t>1.4.5</t>
        </is>
      </c>
      <c r="C493" s="17" t="inlineStr">
        <is>
          <t>Real Estate</t>
        </is>
      </c>
      <c r="D493" s="25" t="n"/>
      <c r="F493" s="150">
        <f>HYPERLINK("https://app.global.datasite.com/platform/container/696652ec0dc07cc02daa26a0/documents/content/index/69bd503976174ddbd7b6bc8d","Real Estate")</f>
        <v/>
      </c>
      <c r="G493" s="149" t="inlineStr">
        <is>
          <t>FOLDER</t>
        </is>
      </c>
      <c r="H493" s="149" t="n"/>
      <c r="I493" s="149" t="inlineStr">
        <is>
          <t>DOWNLOAD</t>
        </is>
      </c>
      <c r="J493" s="149" t="n"/>
      <c r="K493" s="149" t="inlineStr">
        <is>
          <t>Unread</t>
        </is>
      </c>
      <c r="L493" s="152" t="n">
        <v>46176.92764111111</v>
      </c>
      <c r="M493" s="149" t="inlineStr">
        <is>
          <t>69bd503976174ddbd7b6bc8d</t>
        </is>
      </c>
    </row>
    <row r="494">
      <c r="A494" s="149" t="inlineStr">
        <is>
          <t>Project Notos</t>
        </is>
      </c>
      <c r="B494" s="149" t="inlineStr">
        <is>
          <t>1.4.5.1</t>
        </is>
      </c>
      <c r="C494" s="17" t="inlineStr">
        <is>
          <t>Rental contract</t>
        </is>
      </c>
      <c r="D494" s="25" t="n"/>
      <c r="F494" s="150">
        <f>HYPERLINK("https://app.global.datasite.com/platform/container/696652ec0dc07cc02daa26a0/documents/content/index/698cc4573613a095ea714053","Rental contract")</f>
        <v/>
      </c>
      <c r="G494" s="149" t="inlineStr">
        <is>
          <t>FOLDER</t>
        </is>
      </c>
      <c r="H494" s="149" t="n"/>
      <c r="I494" s="149" t="inlineStr">
        <is>
          <t>DOWNLOAD</t>
        </is>
      </c>
      <c r="J494" s="149" t="n"/>
      <c r="K494" s="149" t="inlineStr">
        <is>
          <t>Unread</t>
        </is>
      </c>
      <c r="L494" s="152" t="n">
        <v>46176.92764111111</v>
      </c>
      <c r="M494" s="149" t="inlineStr">
        <is>
          <t>698cc4573613a095ea714053</t>
        </is>
      </c>
    </row>
    <row r="495">
      <c r="A495" t="inlineStr">
        <is>
          <t>Project Notos</t>
        </is>
      </c>
      <c r="B495" t="inlineStr">
        <is>
          <t>1.4.5.1.1</t>
        </is>
      </c>
      <c r="C495" s="15" t="inlineStr">
        <is>
          <t>FT_Lease incl. annexes 2025</t>
        </is>
      </c>
      <c r="D495" s="20" t="inlineStr">
        <is>
          <t>Out-of-Scope</t>
        </is>
      </c>
      <c r="F495" s="151">
        <f>HYPERLINK("https://app.global.datasite.com/webviewer/?projectId=696652ec0dc07cc02daa26a0&amp;documentId=69cd09b9812f91856ba67218","FT_Lease incl. annexes 2025")</f>
        <v/>
      </c>
      <c r="G495" t="inlineStr">
        <is>
          <t>DOCUMENT</t>
        </is>
      </c>
      <c r="H495" t="inlineStr">
        <is>
          <t>pdf</t>
        </is>
      </c>
      <c r="I495" t="inlineStr">
        <is>
          <t>DOWNLOAD</t>
        </is>
      </c>
      <c r="J495" t="n">
        <v>8.24348449</v>
      </c>
      <c r="K495" t="inlineStr">
        <is>
          <t>Unread</t>
        </is>
      </c>
      <c r="L495" s="153" t="n">
        <v>46176.92764111111</v>
      </c>
      <c r="M495" t="inlineStr">
        <is>
          <t>69cd09b9812f91856ba67218</t>
        </is>
      </c>
    </row>
    <row r="496">
      <c r="A496" t="inlineStr">
        <is>
          <t>Project Notos</t>
        </is>
      </c>
      <c r="B496" t="inlineStr">
        <is>
          <t>1.4.5.1.2</t>
        </is>
      </c>
      <c r="C496" s="15" t="inlineStr">
        <is>
          <t>FT_FPE14-Index 01012026</t>
        </is>
      </c>
      <c r="D496" s="20" t="inlineStr">
        <is>
          <t>Out-of-Scope</t>
        </is>
      </c>
      <c r="F496" s="151">
        <f>HYPERLINK("https://app.global.datasite.com/webviewer/?projectId=696652ec0dc07cc02daa26a0&amp;documentId=69cd0abb633c08861582b07f","FT_FPE14-Index 01012026")</f>
        <v/>
      </c>
      <c r="G496" t="inlineStr">
        <is>
          <t>DOCUMENT</t>
        </is>
      </c>
      <c r="H496" t="inlineStr">
        <is>
          <t>pdf</t>
        </is>
      </c>
      <c r="I496" t="inlineStr">
        <is>
          <t>DOWNLOAD</t>
        </is>
      </c>
      <c r="J496" t="n">
        <v>0.15598583</v>
      </c>
      <c r="K496" t="inlineStr">
        <is>
          <t>Unread</t>
        </is>
      </c>
      <c r="L496" s="153" t="n">
        <v>46176.92764111111</v>
      </c>
      <c r="M496" t="inlineStr">
        <is>
          <t>69cd0abb633c08861582b07f</t>
        </is>
      </c>
    </row>
    <row r="497">
      <c r="A497" s="149" t="inlineStr">
        <is>
          <t>Project Notos</t>
        </is>
      </c>
      <c r="B497" s="149" t="inlineStr">
        <is>
          <t>1.4.6</t>
        </is>
      </c>
      <c r="C497" s="17" t="inlineStr">
        <is>
          <t>Insurance</t>
        </is>
      </c>
      <c r="D497" s="25" t="n"/>
      <c r="F497" s="150">
        <f>HYPERLINK("https://app.global.datasite.com/platform/container/696652ec0dc07cc02daa26a0/documents/content/index/69bd17bc00cd582225bec3a8","Insurance")</f>
        <v/>
      </c>
      <c r="G497" s="149" t="inlineStr">
        <is>
          <t>FOLDER</t>
        </is>
      </c>
      <c r="H497" s="149" t="n"/>
      <c r="I497" s="149" t="inlineStr">
        <is>
          <t>DOWNLOAD</t>
        </is>
      </c>
      <c r="J497" s="149" t="n"/>
      <c r="K497" s="149" t="inlineStr">
        <is>
          <t>Unread</t>
        </is>
      </c>
      <c r="L497" s="152" t="n">
        <v>46176.92764111111</v>
      </c>
      <c r="M497" s="149" t="inlineStr">
        <is>
          <t>69bd17bc00cd582225bec3a8</t>
        </is>
      </c>
    </row>
    <row r="498">
      <c r="A498" t="inlineStr">
        <is>
          <t>Project Notos</t>
        </is>
      </c>
      <c r="B498" t="inlineStr">
        <is>
          <t>1.4.6.1</t>
        </is>
      </c>
      <c r="C498" s="15" t="inlineStr">
        <is>
          <t>FT_insurance HDI 2026_260127</t>
        </is>
      </c>
      <c r="D498" s="20" t="inlineStr">
        <is>
          <t>Out-of-Scope</t>
        </is>
      </c>
      <c r="F498" s="151">
        <f>HYPERLINK("https://app.global.datasite.com/webviewer/?projectId=696652ec0dc07cc02daa26a0&amp;documentId=69bd17d31daeb0f3b5e08245","FT_insurance HDI 2026_260127")</f>
        <v/>
      </c>
      <c r="G498" t="inlineStr">
        <is>
          <t>DOCUMENT</t>
        </is>
      </c>
      <c r="H498" t="inlineStr">
        <is>
          <t>pdf</t>
        </is>
      </c>
      <c r="I498" t="inlineStr">
        <is>
          <t>DOWNLOAD</t>
        </is>
      </c>
      <c r="J498" t="n">
        <v>0.06667613</v>
      </c>
      <c r="K498" t="inlineStr">
        <is>
          <t>Unread</t>
        </is>
      </c>
      <c r="L498" s="153" t="n">
        <v>46176.92764111111</v>
      </c>
      <c r="M498" t="inlineStr">
        <is>
          <t>69bd17d31daeb0f3b5e08245</t>
        </is>
      </c>
    </row>
    <row r="499">
      <c r="A499" t="inlineStr">
        <is>
          <t>Project Notos</t>
        </is>
      </c>
      <c r="B499" t="inlineStr">
        <is>
          <t>1.4.6.2</t>
        </is>
      </c>
      <c r="C499" s="15" t="inlineStr">
        <is>
          <t>FT_liability insurance HDI 2025_241202</t>
        </is>
      </c>
      <c r="D499" s="20" t="inlineStr">
        <is>
          <t>Out-of-Scope</t>
        </is>
      </c>
      <c r="F499" s="151">
        <f>HYPERLINK("https://app.global.datasite.com/webviewer/?projectId=696652ec0dc07cc02daa26a0&amp;documentId=69bd17d31daeb0f3b5e08246","FT_liability insurance HDI 2025_241202")</f>
        <v/>
      </c>
      <c r="G499" t="inlineStr">
        <is>
          <t>DOCUMENT</t>
        </is>
      </c>
      <c r="H499" t="inlineStr">
        <is>
          <t>pdf</t>
        </is>
      </c>
      <c r="I499" t="inlineStr">
        <is>
          <t>DOWNLOAD</t>
        </is>
      </c>
      <c r="J499" t="n">
        <v>0.57987689</v>
      </c>
      <c r="K499" t="inlineStr">
        <is>
          <t>Unread</t>
        </is>
      </c>
      <c r="L499" s="153" t="n">
        <v>46176.92764111111</v>
      </c>
      <c r="M499" t="inlineStr">
        <is>
          <t>69bd17d31daeb0f3b5e08246</t>
        </is>
      </c>
    </row>
    <row r="500">
      <c r="A500" s="149" t="inlineStr">
        <is>
          <t>Project Notos</t>
        </is>
      </c>
      <c r="B500" s="149" t="inlineStr">
        <is>
          <t>1.4.7</t>
        </is>
      </c>
      <c r="C500" s="17" t="inlineStr">
        <is>
          <t>Permits</t>
        </is>
      </c>
      <c r="D500" s="25" t="n"/>
      <c r="F500" s="150">
        <f>HYPERLINK("https://app.global.datasite.com/platform/container/696652ec0dc07cc02daa26a0/documents/content/index/69ce65eb3cd9c2ad7d296775","Permits")</f>
        <v/>
      </c>
      <c r="G500" s="149" t="inlineStr">
        <is>
          <t>FOLDER</t>
        </is>
      </c>
      <c r="H500" s="149" t="n"/>
      <c r="I500" s="149" t="inlineStr">
        <is>
          <t>DOWNLOAD</t>
        </is>
      </c>
      <c r="J500" s="149" t="n"/>
      <c r="K500" s="149" t="inlineStr">
        <is>
          <t>Unread</t>
        </is>
      </c>
      <c r="L500" s="152" t="n">
        <v>46176.92764111111</v>
      </c>
      <c r="M500" s="149" t="inlineStr">
        <is>
          <t>69ce65eb3cd9c2ad7d296775</t>
        </is>
      </c>
    </row>
    <row r="501">
      <c r="A501" t="inlineStr">
        <is>
          <t>Project Notos</t>
        </is>
      </c>
      <c r="B501" t="inlineStr">
        <is>
          <t>1.4.7.1</t>
        </is>
      </c>
      <c r="C501" s="15" t="inlineStr">
        <is>
          <t>RF_Excerpt from the business directory</t>
        </is>
      </c>
      <c r="D501" s="20" t="inlineStr">
        <is>
          <t>Out-of-Scope</t>
        </is>
      </c>
      <c r="F501" s="151">
        <f>HYPERLINK("https://app.global.datasite.com/webviewer/?projectId=696652ec0dc07cc02daa26a0&amp;documentId=69ce660314eba47f8774339b","RF_Excerpt from the business directory")</f>
        <v/>
      </c>
      <c r="G501" t="inlineStr">
        <is>
          <t>DOCUMENT</t>
        </is>
      </c>
      <c r="H501" t="inlineStr">
        <is>
          <t>pdf</t>
        </is>
      </c>
      <c r="I501" t="inlineStr">
        <is>
          <t>DOWNLOAD</t>
        </is>
      </c>
      <c r="J501" t="n">
        <v>0.39422512</v>
      </c>
      <c r="K501" t="inlineStr">
        <is>
          <t>Unread</t>
        </is>
      </c>
      <c r="L501" s="153" t="n">
        <v>46176.92764111111</v>
      </c>
      <c r="M501" t="inlineStr">
        <is>
          <t>69ce660314eba47f8774339b</t>
        </is>
      </c>
    </row>
    <row r="502">
      <c r="A502" s="154" t="inlineStr">
        <is>
          <t>Project Notos</t>
        </is>
      </c>
      <c r="B502" s="154" t="inlineStr">
        <is>
          <t>1.4.8</t>
        </is>
      </c>
      <c r="C502" s="155" t="inlineStr">
        <is>
          <t>Data protection</t>
        </is>
      </c>
      <c r="D502" s="156" t="n"/>
      <c r="E502" s="156" t="n"/>
      <c r="F502" s="157">
        <f>HYPERLINK("https://app.global.datasite.com/platform/container/696652ec0dc07cc02daa26a0/documents/content/index/6a3bf36794259263def1164e","Data protection")</f>
        <v/>
      </c>
      <c r="G502" s="154" t="inlineStr">
        <is>
          <t>FOLDER</t>
        </is>
      </c>
      <c r="H502" s="154" t="n"/>
      <c r="I502" s="154" t="inlineStr">
        <is>
          <t>DOWNLOAD</t>
        </is>
      </c>
      <c r="J502" s="154" t="n"/>
      <c r="K502" s="154" t="inlineStr">
        <is>
          <t>Unread</t>
        </is>
      </c>
      <c r="L502" s="158" t="n">
        <v>46198.73022114583</v>
      </c>
      <c r="M502" s="154" t="inlineStr">
        <is>
          <t>6a3bf36794259263def1164e</t>
        </is>
      </c>
    </row>
    <row r="503">
      <c r="A503" s="154" t="inlineStr">
        <is>
          <t>Project Notos</t>
        </is>
      </c>
      <c r="B503" s="154" t="inlineStr">
        <is>
          <t>1.4.8.1</t>
        </is>
      </c>
      <c r="C503" s="155" t="inlineStr">
        <is>
          <t>Information zur Datenverarbeitung Bewerbungsmail</t>
        </is>
      </c>
      <c r="D503" s="156" t="n"/>
      <c r="E503" s="156" t="n"/>
      <c r="F503" s="157">
        <f>HYPERLINK("https://app.global.datasite.com/webviewer/?projectId=696652ec0dc07cc02daa26a0&amp;documentId=6a3bf3701dbcfa9a411d2d6f","Information zur Datenverarbeitung Bewerbungsmail")</f>
        <v/>
      </c>
      <c r="G503" s="154" t="inlineStr">
        <is>
          <t>DOCUMENT</t>
        </is>
      </c>
      <c r="H503" s="154" t="inlineStr">
        <is>
          <t>pdf</t>
        </is>
      </c>
      <c r="I503" s="154" t="inlineStr">
        <is>
          <t>DOWNLOAD</t>
        </is>
      </c>
      <c r="J503" s="154" t="n">
        <v>0.06315517</v>
      </c>
      <c r="K503" s="154" t="inlineStr">
        <is>
          <t>Unread</t>
        </is>
      </c>
      <c r="L503" s="158" t="n">
        <v>46198.73022077546</v>
      </c>
      <c r="M503" s="154" t="inlineStr">
        <is>
          <t>6a3bf3701dbcfa9a411d2d6f</t>
        </is>
      </c>
    </row>
    <row r="504">
      <c r="A504" s="154" t="inlineStr">
        <is>
          <t>Project Notos</t>
        </is>
      </c>
      <c r="B504" s="154" t="inlineStr">
        <is>
          <t>1.4.8.2</t>
        </is>
      </c>
      <c r="C504" s="155" t="inlineStr">
        <is>
          <t>Auszug Arbeitsvertrag zu Verschwiegenheits- und Geheimhaltungspflichten</t>
        </is>
      </c>
      <c r="D504" s="156" t="n"/>
      <c r="E504" s="156" t="n"/>
      <c r="F504" s="157">
        <f>HYPERLINK("https://app.global.datasite.com/webviewer/?projectId=696652ec0dc07cc02daa26a0&amp;documentId=6a3bf40d2ea2938ac49a0b66","Auszug Arbeitsvertrag zu Verschwiegenheits- und Geheimhaltungspflichten")</f>
        <v/>
      </c>
      <c r="G504" s="154" t="inlineStr">
        <is>
          <t>DOCUMENT</t>
        </is>
      </c>
      <c r="H504" s="154" t="inlineStr">
        <is>
          <t>pdf</t>
        </is>
      </c>
      <c r="I504" s="154" t="inlineStr">
        <is>
          <t>DOWNLOAD</t>
        </is>
      </c>
      <c r="J504" s="154" t="n">
        <v>0.05530166</v>
      </c>
      <c r="K504" s="154" t="inlineStr">
        <is>
          <t>Unread</t>
        </is>
      </c>
      <c r="L504" s="158" t="n">
        <v>46198.73022077546</v>
      </c>
      <c r="M504" s="154" t="inlineStr">
        <is>
          <t>6a3bf40d2ea2938ac49a0b66</t>
        </is>
      </c>
    </row>
    <row r="505">
      <c r="A505" s="154" t="inlineStr">
        <is>
          <t>Project Notos</t>
        </is>
      </c>
      <c r="B505" s="154" t="inlineStr">
        <is>
          <t>1.4.8.3</t>
        </is>
      </c>
      <c r="C505" s="155" t="inlineStr">
        <is>
          <t>Datenschutzinformationen für Mitarbeiter</t>
        </is>
      </c>
      <c r="D505" s="156" t="n"/>
      <c r="E505" s="156" t="n"/>
      <c r="F505" s="157">
        <f>HYPERLINK("https://app.global.datasite.com/webviewer/?projectId=696652ec0dc07cc02daa26a0&amp;documentId=6a3bf3701dbcfa9a411d2d71","Datenschutzinformationen für Mitarbeiter")</f>
        <v/>
      </c>
      <c r="G505" s="154" t="inlineStr">
        <is>
          <t>DOCUMENT</t>
        </is>
      </c>
      <c r="H505" s="154" t="inlineStr">
        <is>
          <t>pdf</t>
        </is>
      </c>
      <c r="I505" s="154" t="inlineStr">
        <is>
          <t>DOWNLOAD</t>
        </is>
      </c>
      <c r="J505" s="154" t="n">
        <v>0.19564056</v>
      </c>
      <c r="K505" s="154" t="inlineStr">
        <is>
          <t>Unread</t>
        </is>
      </c>
      <c r="L505" s="158" t="n">
        <v>46198.73022077546</v>
      </c>
      <c r="M505" s="154" t="inlineStr">
        <is>
          <t>6a3bf3701dbcfa9a411d2d71</t>
        </is>
      </c>
    </row>
    <row r="506">
      <c r="A506" s="149" t="inlineStr">
        <is>
          <t>Project Notos</t>
        </is>
      </c>
      <c r="B506" s="149" t="inlineStr">
        <is>
          <t>1.5</t>
        </is>
      </c>
      <c r="C506" s="17" t="inlineStr">
        <is>
          <t>Innerio Group GmbH (IG)</t>
        </is>
      </c>
      <c r="D506" s="25" t="n"/>
      <c r="F506" s="150">
        <f>HYPERLINK("https://app.global.datasite.com/platform/container/696652ec0dc07cc02daa26a0/documents/content/index/698a2fd182bd47be5f29ef0d","Innerio Group GmbH (IG)")</f>
        <v/>
      </c>
      <c r="G506" s="149" t="inlineStr">
        <is>
          <t>FOLDER</t>
        </is>
      </c>
      <c r="H506" s="149" t="n"/>
      <c r="I506" s="149" t="inlineStr">
        <is>
          <t>DOWNLOAD</t>
        </is>
      </c>
      <c r="J506" s="149" t="n"/>
      <c r="K506" s="149" t="inlineStr">
        <is>
          <t>Unread</t>
        </is>
      </c>
      <c r="L506" s="152" t="n">
        <v>46176.92764111111</v>
      </c>
      <c r="M506" s="149" t="inlineStr">
        <is>
          <t>698a2fd182bd47be5f29ef0d</t>
        </is>
      </c>
    </row>
    <row r="507">
      <c r="A507" s="149" t="inlineStr">
        <is>
          <t>Project Notos</t>
        </is>
      </c>
      <c r="B507" s="149" t="inlineStr">
        <is>
          <t>1.5.1</t>
        </is>
      </c>
      <c r="C507" s="17" t="inlineStr">
        <is>
          <t>Corporate</t>
        </is>
      </c>
      <c r="D507" s="25" t="n"/>
      <c r="F507" s="150">
        <f>HYPERLINK("https://app.global.datasite.com/platform/container/696652ec0dc07cc02daa26a0/documents/content/index/69bd513fb03e7d31c6a4a864","Corporate")</f>
        <v/>
      </c>
      <c r="G507" s="149" t="inlineStr">
        <is>
          <t>FOLDER</t>
        </is>
      </c>
      <c r="H507" s="149" t="n"/>
      <c r="I507" s="149" t="inlineStr">
        <is>
          <t>DOWNLOAD</t>
        </is>
      </c>
      <c r="J507" s="149" t="n"/>
      <c r="K507" s="149" t="inlineStr">
        <is>
          <t>Unread</t>
        </is>
      </c>
      <c r="L507" s="152" t="n">
        <v>46176.92764111111</v>
      </c>
      <c r="M507" s="149" t="inlineStr">
        <is>
          <t>69bd513fb03e7d31c6a4a864</t>
        </is>
      </c>
    </row>
    <row r="508">
      <c r="A508" s="149" t="inlineStr">
        <is>
          <t>Project Notos</t>
        </is>
      </c>
      <c r="B508" s="149" t="inlineStr">
        <is>
          <t>1.5.1.1</t>
        </is>
      </c>
      <c r="C508" s="17" t="inlineStr">
        <is>
          <t>Company register</t>
        </is>
      </c>
      <c r="D508" s="25" t="n"/>
      <c r="F508" s="150">
        <f>HYPERLINK("https://app.global.datasite.com/platform/container/696652ec0dc07cc02daa26a0/documents/content/index/698cb85df0199a4713d0c310","Company register")</f>
        <v/>
      </c>
      <c r="G508" s="149" t="inlineStr">
        <is>
          <t>FOLDER</t>
        </is>
      </c>
      <c r="H508" s="149" t="n"/>
      <c r="I508" s="149" t="inlineStr">
        <is>
          <t>DOWNLOAD</t>
        </is>
      </c>
      <c r="J508" s="149" t="n"/>
      <c r="K508" s="149" t="inlineStr">
        <is>
          <t>Unread</t>
        </is>
      </c>
      <c r="L508" s="152" t="n">
        <v>46176.92764111111</v>
      </c>
      <c r="M508" s="149" t="inlineStr">
        <is>
          <t>698cb85df0199a4713d0c310</t>
        </is>
      </c>
    </row>
    <row r="509">
      <c r="A509" t="inlineStr">
        <is>
          <t>Project Notos</t>
        </is>
      </c>
      <c r="B509" t="inlineStr">
        <is>
          <t>1.5.1.1.1</t>
        </is>
      </c>
      <c r="C509" s="15" t="inlineStr">
        <is>
          <t>IG_company register_251031</t>
        </is>
      </c>
      <c r="D509" s="29" t="inlineStr">
        <is>
          <t>SHO / RZA / MHL</t>
        </is>
      </c>
      <c r="F509" s="151">
        <f>HYPERLINK("https://app.global.datasite.com/webviewer/?projectId=696652ec0dc07cc02daa26a0&amp;documentId=698cda2f5a2feb615581229d","IG_company register_251031")</f>
        <v/>
      </c>
      <c r="G509" t="inlineStr">
        <is>
          <t>DOCUMENT</t>
        </is>
      </c>
      <c r="H509" t="inlineStr">
        <is>
          <t>pdf</t>
        </is>
      </c>
      <c r="I509" t="inlineStr">
        <is>
          <t>DOWNLOAD</t>
        </is>
      </c>
      <c r="J509" t="n">
        <v>0.09113311</v>
      </c>
      <c r="K509" t="inlineStr">
        <is>
          <t>Unread</t>
        </is>
      </c>
      <c r="L509" s="153" t="n">
        <v>46176.92764111111</v>
      </c>
      <c r="M509" t="inlineStr">
        <is>
          <t>698cda2f5a2feb615581229d</t>
        </is>
      </c>
    </row>
    <row r="510">
      <c r="A510" t="inlineStr">
        <is>
          <t>Project Notos</t>
        </is>
      </c>
      <c r="B510" t="inlineStr">
        <is>
          <t>1.5.1.1.2</t>
        </is>
      </c>
      <c r="C510" s="15" t="inlineStr">
        <is>
          <t>IG_company register_20260302</t>
        </is>
      </c>
      <c r="D510" s="29" t="inlineStr">
        <is>
          <t>SHO / RZA / MHL</t>
        </is>
      </c>
      <c r="F510" s="151">
        <f>HYPERLINK("https://app.global.datasite.com/webviewer/?projectId=696652ec0dc07cc02daa26a0&amp;documentId=69a6c29ed4619de720bad12c","IG_company register_20260302")</f>
        <v/>
      </c>
      <c r="G510" t="inlineStr">
        <is>
          <t>DOCUMENT</t>
        </is>
      </c>
      <c r="H510" t="inlineStr">
        <is>
          <t>pdf</t>
        </is>
      </c>
      <c r="I510" t="inlineStr">
        <is>
          <t>DOWNLOAD</t>
        </is>
      </c>
      <c r="J510" t="n">
        <v>0.06312465</v>
      </c>
      <c r="K510" t="inlineStr">
        <is>
          <t>Unread</t>
        </is>
      </c>
      <c r="L510" s="153" t="n">
        <v>46176.92764111111</v>
      </c>
      <c r="M510" t="inlineStr">
        <is>
          <t>69a6c29ed4619de720bad12c</t>
        </is>
      </c>
    </row>
    <row r="511">
      <c r="A511" s="149" t="inlineStr">
        <is>
          <t>Project Notos</t>
        </is>
      </c>
      <c r="B511" s="149" t="inlineStr">
        <is>
          <t>1.5.1.2</t>
        </is>
      </c>
      <c r="C511" s="17" t="inlineStr">
        <is>
          <t>Articles of association</t>
        </is>
      </c>
      <c r="D511" s="25" t="n"/>
      <c r="F511" s="150">
        <f>HYPERLINK("https://app.global.datasite.com/platform/container/696652ec0dc07cc02daa26a0/documents/content/index/698cb85df0199a4713d0c311","Articles of association")</f>
        <v/>
      </c>
      <c r="G511" s="149" t="inlineStr">
        <is>
          <t>FOLDER</t>
        </is>
      </c>
      <c r="H511" s="149" t="n"/>
      <c r="I511" s="149" t="inlineStr">
        <is>
          <t>DOWNLOAD</t>
        </is>
      </c>
      <c r="J511" s="149" t="n"/>
      <c r="K511" s="149" t="inlineStr">
        <is>
          <t>Unread</t>
        </is>
      </c>
      <c r="L511" s="152" t="n">
        <v>46176.92764111111</v>
      </c>
      <c r="M511" s="149" t="inlineStr">
        <is>
          <t>698cb85df0199a4713d0c311</t>
        </is>
      </c>
    </row>
    <row r="512">
      <c r="A512" t="inlineStr">
        <is>
          <t>Project Notos</t>
        </is>
      </c>
      <c r="B512" t="inlineStr">
        <is>
          <t>1.5.1.2.1</t>
        </is>
      </c>
      <c r="C512" s="15" t="inlineStr">
        <is>
          <t>IG_articles of association_20240618</t>
        </is>
      </c>
      <c r="D512" s="29" t="inlineStr">
        <is>
          <t>SHO / RZA / MHL</t>
        </is>
      </c>
      <c r="F512" s="151">
        <f>HYPERLINK("https://app.global.datasite.com/webviewer/?projectId=696652ec0dc07cc02daa26a0&amp;documentId=69a6ef7144d59829d80a39d5","IG_articles of association_20240618")</f>
        <v/>
      </c>
      <c r="G512" t="inlineStr">
        <is>
          <t>DOCUMENT</t>
        </is>
      </c>
      <c r="H512" t="inlineStr">
        <is>
          <t>pdf</t>
        </is>
      </c>
      <c r="I512" t="inlineStr">
        <is>
          <t>DOWNLOAD</t>
        </is>
      </c>
      <c r="J512" t="n">
        <v>0.82857227</v>
      </c>
      <c r="K512" t="inlineStr">
        <is>
          <t>Unread</t>
        </is>
      </c>
      <c r="L512" s="153" t="n">
        <v>46176.92764111111</v>
      </c>
      <c r="M512" t="inlineStr">
        <is>
          <t>69a6ef7144d59829d80a39d5</t>
        </is>
      </c>
    </row>
    <row r="513">
      <c r="A513" s="149" t="inlineStr">
        <is>
          <t>Project Notos</t>
        </is>
      </c>
      <c r="B513" s="149" t="inlineStr">
        <is>
          <t>1.5.1.3</t>
        </is>
      </c>
      <c r="C513" s="17" t="inlineStr">
        <is>
          <t>Shareholder documents</t>
        </is>
      </c>
      <c r="D513" s="25" t="n"/>
      <c r="F513" s="150">
        <f>HYPERLINK("https://app.global.datasite.com/platform/container/696652ec0dc07cc02daa26a0/documents/content/index/698cb85df0199a4713d0c312","Shareholder documents")</f>
        <v/>
      </c>
      <c r="G513" s="149" t="inlineStr">
        <is>
          <t>FOLDER</t>
        </is>
      </c>
      <c r="H513" s="149" t="n"/>
      <c r="I513" s="149" t="inlineStr">
        <is>
          <t>DOWNLOAD</t>
        </is>
      </c>
      <c r="J513" s="149" t="n"/>
      <c r="K513" s="149" t="inlineStr">
        <is>
          <t>Unread</t>
        </is>
      </c>
      <c r="L513" s="152" t="n">
        <v>46176.92764111111</v>
      </c>
      <c r="M513" s="149" t="inlineStr">
        <is>
          <t>698cb85df0199a4713d0c312</t>
        </is>
      </c>
    </row>
    <row r="514">
      <c r="A514" t="inlineStr">
        <is>
          <t>Project Notos</t>
        </is>
      </c>
      <c r="B514" t="inlineStr">
        <is>
          <t>1.5.1.3.1</t>
        </is>
      </c>
      <c r="C514" s="15" t="inlineStr">
        <is>
          <t>IG_Shareholders Resolution_20250830</t>
        </is>
      </c>
      <c r="D514" s="29" t="inlineStr">
        <is>
          <t>SHO / RZA / MHL</t>
        </is>
      </c>
      <c r="F514" s="151">
        <f>HYPERLINK("https://app.global.datasite.com/webviewer/?projectId=696652ec0dc07cc02daa26a0&amp;documentId=69a9c04556479676113efc13","IG_Shareholders Resolution_20250830")</f>
        <v/>
      </c>
      <c r="G514" t="inlineStr">
        <is>
          <t>DOCUMENT</t>
        </is>
      </c>
      <c r="H514" t="inlineStr">
        <is>
          <t>pdf</t>
        </is>
      </c>
      <c r="I514" t="inlineStr">
        <is>
          <t>DOWNLOAD</t>
        </is>
      </c>
      <c r="J514" t="n">
        <v>0.29397678</v>
      </c>
      <c r="K514" t="inlineStr">
        <is>
          <t>Unread</t>
        </is>
      </c>
      <c r="L514" s="153" t="n">
        <v>46176.92764111111</v>
      </c>
      <c r="M514" t="inlineStr">
        <is>
          <t>69a9c04556479676113efc13</t>
        </is>
      </c>
    </row>
    <row r="515">
      <c r="A515" t="inlineStr">
        <is>
          <t>Project Notos</t>
        </is>
      </c>
      <c r="B515" t="inlineStr">
        <is>
          <t>1.5.1.3.2</t>
        </is>
      </c>
      <c r="C515" s="15" t="inlineStr">
        <is>
          <t>IG_Deed of acceptance_capital increase per 18_06_2025_</t>
        </is>
      </c>
      <c r="D515" s="29" t="inlineStr">
        <is>
          <t>SHO / RZA / MHL</t>
        </is>
      </c>
      <c r="F515" s="151">
        <f>HYPERLINK("https://app.global.datasite.com/webviewer/?projectId=696652ec0dc07cc02daa26a0&amp;documentId=69ca8132adc66d4b479b18ab","IG_Deed of acceptance_capital increase per 18_06_2025_")</f>
        <v/>
      </c>
      <c r="G515" t="inlineStr">
        <is>
          <t>DOCUMENT</t>
        </is>
      </c>
      <c r="H515" t="inlineStr">
        <is>
          <t>pdf</t>
        </is>
      </c>
      <c r="I515" t="inlineStr">
        <is>
          <t>DOWNLOAD</t>
        </is>
      </c>
      <c r="J515" t="n">
        <v>0.43725013</v>
      </c>
      <c r="K515" t="inlineStr">
        <is>
          <t>Unread</t>
        </is>
      </c>
      <c r="L515" s="153" t="n">
        <v>46176.92764111111</v>
      </c>
      <c r="M515" t="inlineStr">
        <is>
          <t>69ca8132adc66d4b479b18ab</t>
        </is>
      </c>
    </row>
    <row r="516">
      <c r="A516" t="inlineStr">
        <is>
          <t>Project Notos</t>
        </is>
      </c>
      <c r="B516" t="inlineStr">
        <is>
          <t>1.5.1.3.3</t>
        </is>
      </c>
      <c r="C516" s="15" t="inlineStr">
        <is>
          <t>IG_Deed of acceptance ZAPT, Beteiligungs GmbH, CK Vermögensverwaltungs GmbH, Veit Schmid-Schmidsfelden capital increase as per 18062024</t>
        </is>
      </c>
      <c r="D516" s="29" t="inlineStr">
        <is>
          <t>SHO / RZA / MHL</t>
        </is>
      </c>
      <c r="F516" s="151">
        <f>HYPERLINK("https://app.global.datasite.com/webviewer/?projectId=696652ec0dc07cc02daa26a0&amp;documentId=69ca8132adc66d4b479b18ac","IG_Deed of acceptance ZAPT, Beteiligungs GmbH, CK Vermögensverwaltungs GmbH, Veit Schmid-Schmidsfelden capital increase as per 18062024")</f>
        <v/>
      </c>
      <c r="G516" t="inlineStr">
        <is>
          <t>DOCUMENT</t>
        </is>
      </c>
      <c r="H516" t="inlineStr">
        <is>
          <t>pdf</t>
        </is>
      </c>
      <c r="I516" t="inlineStr">
        <is>
          <t>DOWNLOAD</t>
        </is>
      </c>
      <c r="J516" t="n">
        <v>0.47042179</v>
      </c>
      <c r="K516" t="inlineStr">
        <is>
          <t>Unread</t>
        </is>
      </c>
      <c r="L516" s="153" t="n">
        <v>46176.92764111111</v>
      </c>
      <c r="M516" t="inlineStr">
        <is>
          <t>69ca8132adc66d4b479b18ac</t>
        </is>
      </c>
    </row>
    <row r="517">
      <c r="A517" t="inlineStr">
        <is>
          <t>Project Notos</t>
        </is>
      </c>
      <c r="B517" t="inlineStr">
        <is>
          <t>1.5.1.3.4</t>
        </is>
      </c>
      <c r="C517" s="15" t="inlineStr">
        <is>
          <t>IG_Deed of acceptance Eureka-Privatstiftung_capital increase as per 18062024</t>
        </is>
      </c>
      <c r="D517" s="29" t="inlineStr">
        <is>
          <t>SHO / RZA / MHL</t>
        </is>
      </c>
      <c r="F517" s="151">
        <f>HYPERLINK("https://app.global.datasite.com/webviewer/?projectId=696652ec0dc07cc02daa26a0&amp;documentId=69ca8132adc66d4b479b18ad","IG_Deed of acceptance Eureka-Privatstiftung_capital increase as per 18062024")</f>
        <v/>
      </c>
      <c r="G517" t="inlineStr">
        <is>
          <t>DOCUMENT</t>
        </is>
      </c>
      <c r="H517" t="inlineStr">
        <is>
          <t>pdf</t>
        </is>
      </c>
      <c r="I517" t="inlineStr">
        <is>
          <t>DOWNLOAD</t>
        </is>
      </c>
      <c r="J517" t="n">
        <v>0.56825065</v>
      </c>
      <c r="K517" t="inlineStr">
        <is>
          <t>Unread</t>
        </is>
      </c>
      <c r="L517" s="153" t="n">
        <v>46176.92764111111</v>
      </c>
      <c r="M517" t="inlineStr">
        <is>
          <t>69ca8132adc66d4b479b18ad</t>
        </is>
      </c>
    </row>
    <row r="518">
      <c r="A518" t="inlineStr">
        <is>
          <t>Project Notos</t>
        </is>
      </c>
      <c r="B518" t="inlineStr">
        <is>
          <t>1.5.1.3.5</t>
        </is>
      </c>
      <c r="C518" s="15" t="inlineStr">
        <is>
          <t>IG_Deed of acceptance Leopold Schmid_Schmidsfelden _capital increase as per 18_06_2025_</t>
        </is>
      </c>
      <c r="D518" s="29" t="inlineStr">
        <is>
          <t>SHO / RZA / MHL</t>
        </is>
      </c>
      <c r="F518" s="151">
        <f>HYPERLINK("https://app.global.datasite.com/webviewer/?projectId=696652ec0dc07cc02daa26a0&amp;documentId=69ca8132adc66d4b479b18ae","IG_Deed of acceptance Leopold Schmid_Schmidsfelden _capital increase as per 18_06_2025_")</f>
        <v/>
      </c>
      <c r="G518" t="inlineStr">
        <is>
          <t>DOCUMENT</t>
        </is>
      </c>
      <c r="H518" t="inlineStr">
        <is>
          <t>pdf</t>
        </is>
      </c>
      <c r="I518" t="inlineStr">
        <is>
          <t>DOWNLOAD</t>
        </is>
      </c>
      <c r="J518" t="n">
        <v>0.57913208</v>
      </c>
      <c r="K518" t="inlineStr">
        <is>
          <t>Unread</t>
        </is>
      </c>
      <c r="L518" s="153" t="n">
        <v>46176.92764111111</v>
      </c>
      <c r="M518" t="inlineStr">
        <is>
          <t>69ca8132adc66d4b479b18ae</t>
        </is>
      </c>
    </row>
    <row r="519">
      <c r="A519" t="inlineStr">
        <is>
          <t>Project Notos</t>
        </is>
      </c>
      <c r="B519" t="inlineStr">
        <is>
          <t>1.5.1.3.6</t>
        </is>
      </c>
      <c r="C519" s="15" t="inlineStr">
        <is>
          <t>IG_Deed of acceptance Dipl Ing Klaus Pöttinger capital increase as per 18_06_2025_</t>
        </is>
      </c>
      <c r="D519" s="29" t="inlineStr">
        <is>
          <t>SHO / RZA / MHL</t>
        </is>
      </c>
      <c r="F519" s="151">
        <f>HYPERLINK("https://app.global.datasite.com/webviewer/?projectId=696652ec0dc07cc02daa26a0&amp;documentId=69ca8132adc66d4b479b18af","IG_Deed of acceptance Dipl Ing Klaus Pöttinger capital increase as per 18_06_2025_")</f>
        <v/>
      </c>
      <c r="G519" t="inlineStr">
        <is>
          <t>DOCUMENT</t>
        </is>
      </c>
      <c r="H519" t="inlineStr">
        <is>
          <t>pdf</t>
        </is>
      </c>
      <c r="I519" t="inlineStr">
        <is>
          <t>DOWNLOAD</t>
        </is>
      </c>
      <c r="J519" t="n">
        <v>0.4672861</v>
      </c>
      <c r="K519" t="inlineStr">
        <is>
          <t>Unread</t>
        </is>
      </c>
      <c r="L519" s="153" t="n">
        <v>46176.92764111111</v>
      </c>
      <c r="M519" t="inlineStr">
        <is>
          <t>69ca8132adc66d4b479b18af</t>
        </is>
      </c>
    </row>
    <row r="520">
      <c r="A520" t="inlineStr">
        <is>
          <t>Project Notos</t>
        </is>
      </c>
      <c r="B520" t="inlineStr">
        <is>
          <t>1.5.1.3.7</t>
        </is>
      </c>
      <c r="C520" s="15" t="inlineStr">
        <is>
          <t>IG_ Deed of acceptance ZAPT Beteiligungs-GmbH, CK Vermögensverwaltugns GmbH, Veit, Heinrich, Leopold Schmid-Schmidsfelden, Klaus Pöttinger_capital increase as per 21.05.2024</t>
        </is>
      </c>
      <c r="D520" s="29" t="inlineStr">
        <is>
          <t>SHO / RZA / MHL</t>
        </is>
      </c>
      <c r="F520" s="151">
        <f>HYPERLINK("https://app.global.datasite.com/webviewer/?projectId=696652ec0dc07cc02daa26a0&amp;documentId=69ca8132adc66d4b479b18b0","IG_ Deed of acceptance ZAPT Beteiligungs-GmbH, CK Vermögensverwaltugns GmbH, Veit, Heinrich, Leopold Schmid-Schmidsfelden, Klaus Pöttinger_capital increase as per 21.05.2024")</f>
        <v/>
      </c>
      <c r="G520" t="inlineStr">
        <is>
          <t>DOCUMENT</t>
        </is>
      </c>
      <c r="H520" t="inlineStr">
        <is>
          <t>pdf</t>
        </is>
      </c>
      <c r="I520" t="inlineStr">
        <is>
          <t>DOWNLOAD</t>
        </is>
      </c>
      <c r="J520" t="n">
        <v>0.5733060800000001</v>
      </c>
      <c r="K520" t="inlineStr">
        <is>
          <t>Unread</t>
        </is>
      </c>
      <c r="L520" s="153" t="n">
        <v>46176.92764111111</v>
      </c>
      <c r="M520" t="inlineStr">
        <is>
          <t>69ca8132adc66d4b479b18b0</t>
        </is>
      </c>
    </row>
    <row r="521">
      <c r="A521" t="inlineStr">
        <is>
          <t>Project Notos</t>
        </is>
      </c>
      <c r="B521" t="inlineStr">
        <is>
          <t>1.5.1.3.8</t>
        </is>
      </c>
      <c r="C521" s="15" t="inlineStr">
        <is>
          <t>Firmenbuchabfrage - Innerio Group GIG_Deed of acceptance Eureka-Privatstiftung capital increase as per 21_05_2024_</t>
        </is>
      </c>
      <c r="D521" s="29" t="inlineStr">
        <is>
          <t>SHO / RZA / MHL</t>
        </is>
      </c>
      <c r="F521" s="151">
        <f>HYPERLINK("https://app.global.datasite.com/webviewer/?projectId=696652ec0dc07cc02daa26a0&amp;documentId=69ca8132adc66d4b479b18b1","Firmenbuchabfrage - Innerio Group GIG_Deed of acceptance Eureka-Privatstiftung capital increase as per 21_05_2024_")</f>
        <v/>
      </c>
      <c r="G521" t="inlineStr">
        <is>
          <t>DOCUMENT</t>
        </is>
      </c>
      <c r="H521" t="inlineStr">
        <is>
          <t>pdf</t>
        </is>
      </c>
      <c r="I521" t="inlineStr">
        <is>
          <t>DOWNLOAD</t>
        </is>
      </c>
      <c r="J521" t="n">
        <v>0.59714984</v>
      </c>
      <c r="K521" t="inlineStr">
        <is>
          <t>Unread</t>
        </is>
      </c>
      <c r="L521" s="153" t="n">
        <v>46176.92764111111</v>
      </c>
      <c r="M521" t="inlineStr">
        <is>
          <t>69ca8132adc66d4b479b18b1</t>
        </is>
      </c>
    </row>
    <row r="522">
      <c r="A522" s="149" t="inlineStr">
        <is>
          <t>Project Notos</t>
        </is>
      </c>
      <c r="B522" s="149" t="inlineStr">
        <is>
          <t>1.5.1.4</t>
        </is>
      </c>
      <c r="C522" s="17" t="inlineStr">
        <is>
          <t>Company agreements</t>
        </is>
      </c>
      <c r="D522" s="25" t="n"/>
      <c r="F522" s="150">
        <f>HYPERLINK("https://app.global.datasite.com/platform/container/696652ec0dc07cc02daa26a0/documents/content/index/69bd1d7000cd582225beca1a","Company agreements")</f>
        <v/>
      </c>
      <c r="G522" s="149" t="inlineStr">
        <is>
          <t>FOLDER</t>
        </is>
      </c>
      <c r="H522" s="149" t="n"/>
      <c r="I522" s="149" t="inlineStr">
        <is>
          <t>DOWNLOAD</t>
        </is>
      </c>
      <c r="J522" s="149" t="n"/>
      <c r="K522" s="149" t="inlineStr">
        <is>
          <t>Unread</t>
        </is>
      </c>
      <c r="L522" s="152" t="n">
        <v>46176.92764111111</v>
      </c>
      <c r="M522" s="149" t="inlineStr">
        <is>
          <t>69bd1d7000cd582225beca1a</t>
        </is>
      </c>
    </row>
    <row r="523">
      <c r="A523" t="inlineStr">
        <is>
          <t>Project Notos</t>
        </is>
      </c>
      <c r="B523" t="inlineStr">
        <is>
          <t>1.5.1.4.1</t>
        </is>
      </c>
      <c r="C523" s="15" t="inlineStr">
        <is>
          <t>IG_group service agreement_241230</t>
        </is>
      </c>
      <c r="D523" s="22" t="inlineStr">
        <is>
          <t>HBU / FDE</t>
        </is>
      </c>
      <c r="F523" s="151">
        <f>HYPERLINK("https://app.global.datasite.com/webviewer/?projectId=696652ec0dc07cc02daa26a0&amp;documentId=69bd1d7f76174ddbd7b69ba0","IG_group service agreement_241230")</f>
        <v/>
      </c>
      <c r="G523" t="inlineStr">
        <is>
          <t>DOCUMENT</t>
        </is>
      </c>
      <c r="H523" t="inlineStr">
        <is>
          <t>pdf</t>
        </is>
      </c>
      <c r="I523" t="inlineStr">
        <is>
          <t>DOWNLOAD</t>
        </is>
      </c>
      <c r="J523" t="n">
        <v>0.27164363</v>
      </c>
      <c r="K523" t="inlineStr">
        <is>
          <t>Unread</t>
        </is>
      </c>
      <c r="L523" s="153" t="n">
        <v>46176.92764111111</v>
      </c>
      <c r="M523" t="inlineStr">
        <is>
          <t>69bd1d7f76174ddbd7b69ba0</t>
        </is>
      </c>
    </row>
    <row r="524">
      <c r="A524" t="inlineStr">
        <is>
          <t>Project Notos</t>
        </is>
      </c>
      <c r="B524" t="inlineStr">
        <is>
          <t>1.5.1.4.2</t>
        </is>
      </c>
      <c r="C524" s="15" t="inlineStr">
        <is>
          <t>IG_tax group agreement_2024</t>
        </is>
      </c>
      <c r="D524" s="20" t="inlineStr">
        <is>
          <t>Out-of-Scope</t>
        </is>
      </c>
      <c r="F524" s="151">
        <f>HYPERLINK("https://app.global.datasite.com/webviewer/?projectId=696652ec0dc07cc02daa26a0&amp;documentId=69bd1d7f76174ddbd7b69ba1","IG_tax group agreement_2024")</f>
        <v/>
      </c>
      <c r="G524" t="inlineStr">
        <is>
          <t>DOCUMENT</t>
        </is>
      </c>
      <c r="H524" t="inlineStr">
        <is>
          <t>pdf</t>
        </is>
      </c>
      <c r="I524" t="inlineStr">
        <is>
          <t>DOWNLOAD</t>
        </is>
      </c>
      <c r="J524" t="n">
        <v>4.74609375</v>
      </c>
      <c r="K524" t="inlineStr">
        <is>
          <t>Unread</t>
        </is>
      </c>
      <c r="L524" s="153" t="n">
        <v>46176.92764111111</v>
      </c>
      <c r="M524" t="inlineStr">
        <is>
          <t>69bd1d7f76174ddbd7b69ba1</t>
        </is>
      </c>
    </row>
    <row r="525">
      <c r="A525" s="149" t="inlineStr">
        <is>
          <t>Project Notos</t>
        </is>
      </c>
      <c r="B525" s="149" t="inlineStr">
        <is>
          <t>1.5.2</t>
        </is>
      </c>
      <c r="C525" s="17" t="inlineStr">
        <is>
          <t xml:space="preserve">Financing </t>
        </is>
      </c>
      <c r="D525" s="25" t="n"/>
      <c r="F525" s="150">
        <f>HYPERLINK("https://app.global.datasite.com/platform/container/696652ec0dc07cc02daa26a0/documents/content/index/69bd1cbade0718c1a05fd285","Financing ")</f>
        <v/>
      </c>
      <c r="G525" s="149" t="inlineStr">
        <is>
          <t>FOLDER</t>
        </is>
      </c>
      <c r="H525" s="149" t="n"/>
      <c r="I525" s="149" t="inlineStr">
        <is>
          <t>DOWNLOAD</t>
        </is>
      </c>
      <c r="J525" s="149" t="n"/>
      <c r="K525" s="149" t="inlineStr">
        <is>
          <t>Unread</t>
        </is>
      </c>
      <c r="L525" s="152" t="n">
        <v>46176.92764111111</v>
      </c>
      <c r="M525" s="149" t="inlineStr">
        <is>
          <t>69bd1cbade0718c1a05fd285</t>
        </is>
      </c>
    </row>
    <row r="526">
      <c r="A526" s="149" t="inlineStr">
        <is>
          <t>Project Notos</t>
        </is>
      </c>
      <c r="B526" s="149" t="inlineStr">
        <is>
          <t>1.5.2.1</t>
        </is>
      </c>
      <c r="C526" s="17" t="inlineStr">
        <is>
          <t>IC loans_Shareholder loans</t>
        </is>
      </c>
      <c r="D526" s="25" t="n"/>
      <c r="F526" s="150">
        <f>HYPERLINK("https://app.global.datasite.com/platform/container/696652ec0dc07cc02daa26a0/documents/content/index/69f1dec71af6273be2456b11","IC loans_Shareholder loans")</f>
        <v/>
      </c>
      <c r="G526" s="149" t="inlineStr">
        <is>
          <t>FOLDER</t>
        </is>
      </c>
      <c r="H526" s="149" t="n"/>
      <c r="I526" s="149" t="inlineStr">
        <is>
          <t>DOWNLOAD</t>
        </is>
      </c>
      <c r="J526" s="149" t="n"/>
      <c r="K526" s="149" t="inlineStr">
        <is>
          <t>Unread</t>
        </is>
      </c>
      <c r="L526" s="152" t="n">
        <v>46176.92764111111</v>
      </c>
      <c r="M526" s="149" t="inlineStr">
        <is>
          <t>69f1dec71af6273be2456b11</t>
        </is>
      </c>
    </row>
    <row r="527">
      <c r="A527" t="inlineStr">
        <is>
          <t>Project Notos</t>
        </is>
      </c>
      <c r="B527" t="inlineStr">
        <is>
          <t>1.5.2.1.1</t>
        </is>
      </c>
      <c r="C527" s="15" t="inlineStr">
        <is>
          <t>IG_loan agreement IM_221222</t>
        </is>
      </c>
      <c r="D527" s="23" t="inlineStr">
        <is>
          <t>PSH / DSN / TOR</t>
        </is>
      </c>
      <c r="F527" s="151">
        <f>HYPERLINK("https://app.global.datasite.com/webviewer/?projectId=696652ec0dc07cc02daa26a0&amp;documentId=69bd1d5175065b28e9b73982","IG_loan agreement IM_221222")</f>
        <v/>
      </c>
      <c r="G527" t="inlineStr">
        <is>
          <t>DOCUMENT</t>
        </is>
      </c>
      <c r="H527" t="inlineStr">
        <is>
          <t>pdf</t>
        </is>
      </c>
      <c r="I527" t="inlineStr">
        <is>
          <t>DOWNLOAD</t>
        </is>
      </c>
      <c r="J527" t="n">
        <v>0.34486293</v>
      </c>
      <c r="K527" t="inlineStr">
        <is>
          <t>Unread</t>
        </is>
      </c>
      <c r="L527" s="153" t="n">
        <v>46176.92764111111</v>
      </c>
      <c r="M527" t="inlineStr">
        <is>
          <t>69bd1d5175065b28e9b73982</t>
        </is>
      </c>
    </row>
    <row r="528">
      <c r="A528" t="inlineStr">
        <is>
          <t>Project Notos</t>
        </is>
      </c>
      <c r="B528" t="inlineStr">
        <is>
          <t>1.5.2.1.2</t>
        </is>
      </c>
      <c r="C528" s="15" t="inlineStr">
        <is>
          <t>IG_loan agreement FT_240305</t>
        </is>
      </c>
      <c r="D528" s="23" t="inlineStr">
        <is>
          <t>PSH / DSN / TOR</t>
        </is>
      </c>
      <c r="F528" s="151">
        <f>HYPERLINK("https://app.global.datasite.com/webviewer/?projectId=696652ec0dc07cc02daa26a0&amp;documentId=69bd1d5175065b28e9b73983","IG_loan agreement FT_240305")</f>
        <v/>
      </c>
      <c r="G528" t="inlineStr">
        <is>
          <t>DOCUMENT</t>
        </is>
      </c>
      <c r="H528" t="inlineStr">
        <is>
          <t>pdf</t>
        </is>
      </c>
      <c r="I528" t="inlineStr">
        <is>
          <t>DOWNLOAD</t>
        </is>
      </c>
      <c r="J528" t="n">
        <v>1.04659843</v>
      </c>
      <c r="K528" t="inlineStr">
        <is>
          <t>Unread</t>
        </is>
      </c>
      <c r="L528" s="153" t="n">
        <v>46176.92764111111</v>
      </c>
      <c r="M528" t="inlineStr">
        <is>
          <t>69bd1d5175065b28e9b73983</t>
        </is>
      </c>
    </row>
    <row r="529">
      <c r="A529" t="inlineStr">
        <is>
          <t>Project Notos</t>
        </is>
      </c>
      <c r="B529" t="inlineStr">
        <is>
          <t>1.5.2.1.3</t>
        </is>
      </c>
      <c r="C529" s="15" t="inlineStr">
        <is>
          <t>IG_loan agreement RF_250123</t>
        </is>
      </c>
      <c r="D529" s="23" t="inlineStr">
        <is>
          <t>PSH / DSN / TOR</t>
        </is>
      </c>
      <c r="F529" s="151">
        <f>HYPERLINK("https://app.global.datasite.com/webviewer/?projectId=696652ec0dc07cc02daa26a0&amp;documentId=69bd1d0d76174ddbd7b69b8a","IG_loan agreement RF_250123")</f>
        <v/>
      </c>
      <c r="G529" t="inlineStr">
        <is>
          <t>DOCUMENT</t>
        </is>
      </c>
      <c r="H529" t="inlineStr">
        <is>
          <t>pdf</t>
        </is>
      </c>
      <c r="I529" t="inlineStr">
        <is>
          <t>DOWNLOAD</t>
        </is>
      </c>
      <c r="J529" t="n">
        <v>0.27279567</v>
      </c>
      <c r="K529" t="inlineStr">
        <is>
          <t>Read</t>
        </is>
      </c>
      <c r="L529" s="153" t="n">
        <v>46176.92764111111</v>
      </c>
      <c r="M529" t="inlineStr">
        <is>
          <t>69bd1d0d76174ddbd7b69b8a</t>
        </is>
      </c>
    </row>
    <row r="530">
      <c r="A530" t="inlineStr">
        <is>
          <t>Project Notos</t>
        </is>
      </c>
      <c r="B530" t="inlineStr">
        <is>
          <t>1.5.2.1.4</t>
        </is>
      </c>
      <c r="C530" s="15" t="inlineStr">
        <is>
          <t>IG_Shareholder Loans_Syndikatsvertrag 1_191001</t>
        </is>
      </c>
      <c r="D530" s="23" t="inlineStr">
        <is>
          <t>PSH / DSN / TOR</t>
        </is>
      </c>
      <c r="F530" s="151">
        <f>HYPERLINK("https://app.global.datasite.com/webviewer/?projectId=696652ec0dc07cc02daa26a0&amp;documentId=6a0197c54597bd367cac416c","IG_Shareholder Loans_Syndikatsvertrag 1_191001")</f>
        <v/>
      </c>
      <c r="G530" t="inlineStr">
        <is>
          <t>DOCUMENT</t>
        </is>
      </c>
      <c r="H530" t="inlineStr">
        <is>
          <t>pdf</t>
        </is>
      </c>
      <c r="I530" t="inlineStr">
        <is>
          <t>DOWNLOAD</t>
        </is>
      </c>
      <c r="J530" t="n">
        <v>2.221982</v>
      </c>
      <c r="K530" t="inlineStr">
        <is>
          <t>Unread</t>
        </is>
      </c>
      <c r="L530" s="153" t="n">
        <v>46176.92764111111</v>
      </c>
      <c r="M530" t="inlineStr">
        <is>
          <t>6a0197c54597bd367cac416c</t>
        </is>
      </c>
    </row>
    <row r="531">
      <c r="A531" t="inlineStr">
        <is>
          <t>Project Notos</t>
        </is>
      </c>
      <c r="B531" t="inlineStr">
        <is>
          <t>1.5.2.1.5</t>
        </is>
      </c>
      <c r="C531" s="15" t="inlineStr">
        <is>
          <t>IG_Shareholder Loans_Syndikatsvertrag 2_200227</t>
        </is>
      </c>
      <c r="D531" s="23" t="inlineStr">
        <is>
          <t>PSH / DSN / TOR</t>
        </is>
      </c>
      <c r="F531" s="151">
        <f>HYPERLINK("https://app.global.datasite.com/webviewer/?projectId=696652ec0dc07cc02daa26a0&amp;documentId=6a01982d2c274332ba8e1ccc","IG_Shareholder Loans_Syndikatsvertrag 2_200227")</f>
        <v/>
      </c>
      <c r="G531" t="inlineStr">
        <is>
          <t>DOCUMENT</t>
        </is>
      </c>
      <c r="H531" t="inlineStr">
        <is>
          <t>pdf</t>
        </is>
      </c>
      <c r="I531" t="inlineStr">
        <is>
          <t>DOWNLOAD</t>
        </is>
      </c>
      <c r="J531" t="n">
        <v>1.9835968</v>
      </c>
      <c r="K531" t="inlineStr">
        <is>
          <t>Unread</t>
        </is>
      </c>
      <c r="L531" s="153" t="n">
        <v>46176.92764111111</v>
      </c>
      <c r="M531" t="inlineStr">
        <is>
          <t>6a01982d2c274332ba8e1ccc</t>
        </is>
      </c>
    </row>
    <row r="532">
      <c r="A532" t="inlineStr">
        <is>
          <t>Project Notos</t>
        </is>
      </c>
      <c r="B532" t="inlineStr">
        <is>
          <t>1.5.2.1.6</t>
        </is>
      </c>
      <c r="C532" s="15" t="inlineStr">
        <is>
          <t>IG_Shareholder Loan CK_Loan Prolongations</t>
        </is>
      </c>
      <c r="D532" s="23" t="inlineStr">
        <is>
          <t>PSH / DSN / TOR</t>
        </is>
      </c>
      <c r="F532" s="151">
        <f>HYPERLINK("https://app.global.datasite.com/webviewer/?projectId=696652ec0dc07cc02daa26a0&amp;documentId=6a1db653a5d46cfc38fc6748","IG_Shareholder Loan CK_Loan Prolongations")</f>
        <v/>
      </c>
      <c r="G532" t="inlineStr">
        <is>
          <t>DOCUMENT</t>
        </is>
      </c>
      <c r="H532" t="inlineStr">
        <is>
          <t>pdf</t>
        </is>
      </c>
      <c r="I532" t="inlineStr">
        <is>
          <t>DOWNLOAD</t>
        </is>
      </c>
      <c r="J532" t="n">
        <v>0.6377458499999999</v>
      </c>
      <c r="K532" t="inlineStr">
        <is>
          <t>Unread</t>
        </is>
      </c>
      <c r="L532" s="153" t="n">
        <v>46176.92764111111</v>
      </c>
      <c r="M532" t="inlineStr">
        <is>
          <t>6a1db653a5d46cfc38fc6748</t>
        </is>
      </c>
    </row>
    <row r="533">
      <c r="A533" t="inlineStr">
        <is>
          <t>Project Notos</t>
        </is>
      </c>
      <c r="B533" t="inlineStr">
        <is>
          <t>1.5.2.1.7</t>
        </is>
      </c>
      <c r="C533" s="15" t="inlineStr">
        <is>
          <t>IG_Shareholder Loan Pöttinger_Loan Prolongations</t>
        </is>
      </c>
      <c r="D533" s="23" t="inlineStr">
        <is>
          <t>PSH / DSN / TOR</t>
        </is>
      </c>
      <c r="F533" s="151">
        <f>HYPERLINK("https://app.global.datasite.com/webviewer/?projectId=696652ec0dc07cc02daa26a0&amp;documentId=6a1ecfcd1173c7f7a3ca324a","IG_Shareholder Loan Pöttinger_Loan Prolongations")</f>
        <v/>
      </c>
      <c r="G533" t="inlineStr">
        <is>
          <t>DOCUMENT</t>
        </is>
      </c>
      <c r="H533" t="inlineStr">
        <is>
          <t>pdf</t>
        </is>
      </c>
      <c r="I533" t="inlineStr">
        <is>
          <t>DOWNLOAD</t>
        </is>
      </c>
      <c r="J533" t="n">
        <v>0.08469772</v>
      </c>
      <c r="K533" t="inlineStr">
        <is>
          <t>Unread</t>
        </is>
      </c>
      <c r="L533" s="153" t="n">
        <v>46176.92764111111</v>
      </c>
      <c r="M533" t="inlineStr">
        <is>
          <t>6a1ecfcd1173c7f7a3ca324a</t>
        </is>
      </c>
    </row>
    <row r="534">
      <c r="A534" t="inlineStr">
        <is>
          <t>Project Notos</t>
        </is>
      </c>
      <c r="B534" t="inlineStr">
        <is>
          <t>1.5.2.1.8</t>
        </is>
      </c>
      <c r="C534" t="inlineStr">
        <is>
          <t>IG_Shareholder Loan CK_Prolongation_signed2</t>
        </is>
      </c>
      <c r="D534" s="23" t="inlineStr">
        <is>
          <t>PSH / DSN / TOR</t>
        </is>
      </c>
      <c r="F534" s="151" t="n">
        <v>0</v>
      </c>
      <c r="G534" t="inlineStr">
        <is>
          <t>DOCUMENT</t>
        </is>
      </c>
      <c r="H534" t="inlineStr">
        <is>
          <t>pdf</t>
        </is>
      </c>
      <c r="I534" t="inlineStr">
        <is>
          <t>DOWNLOAD</t>
        </is>
      </c>
      <c r="J534" t="n">
        <v>0.12569141</v>
      </c>
      <c r="K534" t="inlineStr">
        <is>
          <t>Unread</t>
        </is>
      </c>
      <c r="L534" s="153" t="n">
        <v>46181.87823309028</v>
      </c>
      <c r="M534" t="inlineStr">
        <is>
          <t>6a26dc61a7f5fa5e1ea1d2ff</t>
        </is>
      </c>
    </row>
    <row r="535">
      <c r="A535" t="inlineStr">
        <is>
          <t>Project Notos</t>
        </is>
      </c>
      <c r="B535" t="inlineStr">
        <is>
          <t>1.5.2.1.9</t>
        </is>
      </c>
      <c r="C535" t="inlineStr">
        <is>
          <t>IG_Shareholder Loan_Pöttinger_Loan Prolongation_142584,30-12.27_signed2</t>
        </is>
      </c>
      <c r="D535" s="23" t="inlineStr">
        <is>
          <t>PSH / DSN / TOR</t>
        </is>
      </c>
      <c r="F535" s="151" t="n">
        <v>0</v>
      </c>
      <c r="G535" t="inlineStr">
        <is>
          <t>DOCUMENT</t>
        </is>
      </c>
      <c r="H535" t="inlineStr">
        <is>
          <t>pdf</t>
        </is>
      </c>
      <c r="I535" t="inlineStr">
        <is>
          <t>DOWNLOAD</t>
        </is>
      </c>
      <c r="J535" t="n">
        <v>0.12136745</v>
      </c>
      <c r="K535" t="inlineStr">
        <is>
          <t>Unread</t>
        </is>
      </c>
      <c r="L535" s="153" t="n">
        <v>46181.87823309028</v>
      </c>
      <c r="M535" t="inlineStr">
        <is>
          <t>6a26dc61a7f5fa5e1ea1d300</t>
        </is>
      </c>
    </row>
    <row r="536">
      <c r="A536" t="inlineStr">
        <is>
          <t>Project Notos</t>
        </is>
      </c>
      <c r="B536" t="inlineStr">
        <is>
          <t>1.5.2.1.10</t>
        </is>
      </c>
      <c r="C536" t="inlineStr">
        <is>
          <t>IG_Shareholder Loan_Z.A.P.T.GmbH_Loan Prolongation-12.27_signed2</t>
        </is>
      </c>
      <c r="D536" s="23" t="inlineStr">
        <is>
          <t>PSH / DSN / TOR</t>
        </is>
      </c>
      <c r="F536" s="151" t="n">
        <v>0</v>
      </c>
      <c r="G536" t="inlineStr">
        <is>
          <t>DOCUMENT</t>
        </is>
      </c>
      <c r="H536" t="inlineStr">
        <is>
          <t>pdf</t>
        </is>
      </c>
      <c r="I536" t="inlineStr">
        <is>
          <t>DOWNLOAD</t>
        </is>
      </c>
      <c r="J536" t="n">
        <v>0.32335662</v>
      </c>
      <c r="K536" t="inlineStr">
        <is>
          <t>Unread</t>
        </is>
      </c>
      <c r="L536" s="153" t="n">
        <v>46181.87823309028</v>
      </c>
      <c r="M536" t="inlineStr">
        <is>
          <t>6a26dc61a7f5fa5e1ea1d301</t>
        </is>
      </c>
    </row>
    <row r="537">
      <c r="A537" s="149" t="inlineStr">
        <is>
          <t>Project Notos</t>
        </is>
      </c>
      <c r="B537" s="149" t="inlineStr">
        <is>
          <t>1.5.3</t>
        </is>
      </c>
      <c r="C537" s="17" t="inlineStr">
        <is>
          <t>Insurance</t>
        </is>
      </c>
      <c r="D537" s="25" t="n"/>
      <c r="F537" s="150">
        <f>HYPERLINK("https://app.global.datasite.com/platform/container/696652ec0dc07cc02daa26a0/documents/content/index/698cc4be468b412c79e43a89","Insurance")</f>
        <v/>
      </c>
      <c r="G537" s="149" t="inlineStr">
        <is>
          <t>FOLDER</t>
        </is>
      </c>
      <c r="H537" s="149" t="n"/>
      <c r="I537" s="149" t="inlineStr">
        <is>
          <t>DOWNLOAD</t>
        </is>
      </c>
      <c r="J537" s="149" t="n"/>
      <c r="K537" s="149" t="inlineStr">
        <is>
          <t>Unread</t>
        </is>
      </c>
      <c r="L537" s="152" t="n">
        <v>46176.92764111111</v>
      </c>
      <c r="M537" s="149" t="inlineStr">
        <is>
          <t>698cc4be468b412c79e43a89</t>
        </is>
      </c>
    </row>
    <row r="538">
      <c r="A538" t="inlineStr">
        <is>
          <t>Project Notos</t>
        </is>
      </c>
      <c r="B538" t="inlineStr">
        <is>
          <t>1.5.3.1</t>
        </is>
      </c>
      <c r="C538" s="15" t="inlineStr">
        <is>
          <t>IG_cyber insurance würrtembergische_250819</t>
        </is>
      </c>
      <c r="D538" s="30" t="inlineStr">
        <is>
          <t>DAS</t>
        </is>
      </c>
      <c r="F538" s="151">
        <f>HYPERLINK("https://app.global.datasite.com/webviewer/?projectId=696652ec0dc07cc02daa26a0&amp;documentId=69bd1c1f7f48566a39cf6628","IG_cyber insurance würrtembergische_250819")</f>
        <v/>
      </c>
      <c r="G538" t="inlineStr">
        <is>
          <t>DOCUMENT</t>
        </is>
      </c>
      <c r="H538" t="inlineStr">
        <is>
          <t>pdf</t>
        </is>
      </c>
      <c r="I538" t="inlineStr">
        <is>
          <t>DOWNLOAD</t>
        </is>
      </c>
      <c r="J538" t="n">
        <v>0.74854278</v>
      </c>
      <c r="K538" t="inlineStr">
        <is>
          <t>Unread</t>
        </is>
      </c>
      <c r="L538" s="153" t="n">
        <v>46176.92764111111</v>
      </c>
      <c r="M538" t="inlineStr">
        <is>
          <t>69bd1c1f7f48566a39cf6628</t>
        </is>
      </c>
    </row>
    <row r="539">
      <c r="A539" t="inlineStr">
        <is>
          <t>Project Notos</t>
        </is>
      </c>
      <c r="B539" t="inlineStr">
        <is>
          <t>1.5.3.2</t>
        </is>
      </c>
      <c r="C539" s="15" t="inlineStr">
        <is>
          <t>IG_legal protection insurance HDI_211215</t>
        </is>
      </c>
      <c r="D539" s="30" t="inlineStr">
        <is>
          <t>DAS</t>
        </is>
      </c>
      <c r="F539" s="151">
        <f>HYPERLINK("https://app.global.datasite.com/webviewer/?projectId=696652ec0dc07cc02daa26a0&amp;documentId=69bd1c1f7f48566a39cf6629","IG_legal protection insurance HDI_211215")</f>
        <v/>
      </c>
      <c r="G539" t="inlineStr">
        <is>
          <t>DOCUMENT</t>
        </is>
      </c>
      <c r="H539" t="inlineStr">
        <is>
          <t>pdf</t>
        </is>
      </c>
      <c r="I539" t="inlineStr">
        <is>
          <t>DOWNLOAD</t>
        </is>
      </c>
      <c r="J539" t="n">
        <v>0.30616664</v>
      </c>
      <c r="K539" t="inlineStr">
        <is>
          <t>Unread</t>
        </is>
      </c>
      <c r="L539" s="153" t="n">
        <v>46176.92764111111</v>
      </c>
      <c r="M539" t="inlineStr">
        <is>
          <t>69bd1c1f7f48566a39cf6629</t>
        </is>
      </c>
    </row>
    <row r="540">
      <c r="A540" t="inlineStr">
        <is>
          <t>Project Notos</t>
        </is>
      </c>
      <c r="B540" t="inlineStr">
        <is>
          <t>1.5.3.3</t>
        </is>
      </c>
      <c r="C540" s="15" t="inlineStr">
        <is>
          <t>IG_HDI terms_250204</t>
        </is>
      </c>
      <c r="D540" s="30" t="inlineStr">
        <is>
          <t>DAS</t>
        </is>
      </c>
      <c r="F540" s="151">
        <f>HYPERLINK("https://app.global.datasite.com/webviewer/?projectId=696652ec0dc07cc02daa26a0&amp;documentId=69bd1c1f7f48566a39cf662a","IG_HDI terms_250204")</f>
        <v/>
      </c>
      <c r="G540" t="inlineStr">
        <is>
          <t>DOCUMENT</t>
        </is>
      </c>
      <c r="H540" t="inlineStr">
        <is>
          <t>pdf</t>
        </is>
      </c>
      <c r="I540" t="inlineStr">
        <is>
          <t>DOWNLOAD</t>
        </is>
      </c>
      <c r="J540" t="n">
        <v>0.39836597</v>
      </c>
      <c r="K540" t="inlineStr">
        <is>
          <t>Unread</t>
        </is>
      </c>
      <c r="L540" s="153" t="n">
        <v>46176.92764111111</v>
      </c>
      <c r="M540" t="inlineStr">
        <is>
          <t>69bd1c1f7f48566a39cf662a</t>
        </is>
      </c>
    </row>
    <row r="541">
      <c r="A541" t="inlineStr">
        <is>
          <t>Project Notos</t>
        </is>
      </c>
      <c r="B541" t="inlineStr">
        <is>
          <t>1.5.3.4</t>
        </is>
      </c>
      <c r="C541" s="15" t="inlineStr">
        <is>
          <t>IG_liability insurance HDI_250311</t>
        </is>
      </c>
      <c r="D541" s="30" t="inlineStr">
        <is>
          <t>DAS</t>
        </is>
      </c>
      <c r="F541" s="151">
        <f>HYPERLINK("https://app.global.datasite.com/webviewer/?projectId=696652ec0dc07cc02daa26a0&amp;documentId=69bd1c1f7f48566a39cf662b","IG_liability insurance HDI_250311")</f>
        <v/>
      </c>
      <c r="G541" t="inlineStr">
        <is>
          <t>DOCUMENT</t>
        </is>
      </c>
      <c r="H541" t="inlineStr">
        <is>
          <t>pdf</t>
        </is>
      </c>
      <c r="I541" t="inlineStr">
        <is>
          <t>DOWNLOAD</t>
        </is>
      </c>
      <c r="J541" t="n">
        <v>0.06518649999999999</v>
      </c>
      <c r="K541" t="inlineStr">
        <is>
          <t>Unread</t>
        </is>
      </c>
      <c r="L541" s="153" t="n">
        <v>46176.92764111111</v>
      </c>
      <c r="M541" t="inlineStr">
        <is>
          <t>69bd1c1f7f48566a39cf662b</t>
        </is>
      </c>
    </row>
    <row r="542">
      <c r="A542" t="inlineStr">
        <is>
          <t>Project Notos</t>
        </is>
      </c>
      <c r="B542" t="inlineStr">
        <is>
          <t>1.5.3.5</t>
        </is>
      </c>
      <c r="C542" s="15" t="inlineStr">
        <is>
          <t>IG_transport insurance HDI_250701</t>
        </is>
      </c>
      <c r="D542" s="30" t="inlineStr">
        <is>
          <t>DAS</t>
        </is>
      </c>
      <c r="F542" s="151">
        <f>HYPERLINK("https://app.global.datasite.com/webviewer/?projectId=696652ec0dc07cc02daa26a0&amp;documentId=69bd1c1f7f48566a39cf662c","IG_transport insurance HDI_250701")</f>
        <v/>
      </c>
      <c r="G542" t="inlineStr">
        <is>
          <t>DOCUMENT</t>
        </is>
      </c>
      <c r="H542" t="inlineStr">
        <is>
          <t>pdf</t>
        </is>
      </c>
      <c r="I542" t="inlineStr">
        <is>
          <t>DOWNLOAD</t>
        </is>
      </c>
      <c r="J542" t="n">
        <v>0.21207809</v>
      </c>
      <c r="K542" t="inlineStr">
        <is>
          <t>Unread</t>
        </is>
      </c>
      <c r="L542" s="153" t="n">
        <v>46176.92764111111</v>
      </c>
      <c r="M542" t="inlineStr">
        <is>
          <t>69bd1c1f7f48566a39cf662c</t>
        </is>
      </c>
    </row>
    <row r="543">
      <c r="A543" t="inlineStr">
        <is>
          <t>Project Notos</t>
        </is>
      </c>
      <c r="B543" t="inlineStr">
        <is>
          <t>1.5.3.6</t>
        </is>
      </c>
      <c r="C543" s="15" t="inlineStr">
        <is>
          <t>IG_addendum D&amp;O insurance AIG_251219</t>
        </is>
      </c>
      <c r="D543" s="30" t="inlineStr">
        <is>
          <t>DAS</t>
        </is>
      </c>
      <c r="F543" s="151">
        <f>HYPERLINK("https://app.global.datasite.com/webviewer/?projectId=696652ec0dc07cc02daa26a0&amp;documentId=69bd1c1f7f48566a39cf662d","IG_addendum D&amp;O insurance AIG_251219")</f>
        <v/>
      </c>
      <c r="G543" t="inlineStr">
        <is>
          <t>DOCUMENT</t>
        </is>
      </c>
      <c r="H543" t="inlineStr">
        <is>
          <t>pdf</t>
        </is>
      </c>
      <c r="I543" t="inlineStr">
        <is>
          <t>DOWNLOAD</t>
        </is>
      </c>
      <c r="J543" t="n">
        <v>0.26755046</v>
      </c>
      <c r="K543" t="inlineStr">
        <is>
          <t>Unread</t>
        </is>
      </c>
      <c r="L543" s="153" t="n">
        <v>46176.92764111111</v>
      </c>
      <c r="M543" t="inlineStr">
        <is>
          <t>69bd1c1f7f48566a39cf662d</t>
        </is>
      </c>
    </row>
    <row r="544">
      <c r="A544" s="149" t="inlineStr">
        <is>
          <t>Project Notos</t>
        </is>
      </c>
      <c r="B544" s="149" t="inlineStr">
        <is>
          <t>1.6</t>
        </is>
      </c>
      <c r="C544" s="17" t="inlineStr">
        <is>
          <t>Innerio Immobilien GmbH (IM)</t>
        </is>
      </c>
      <c r="D544" s="25" t="n"/>
      <c r="F544" s="150">
        <f>HYPERLINK("https://app.global.datasite.com/platform/container/696652ec0dc07cc02daa26a0/documents/content/index/698a303143d755123c87f841","Innerio Immobilien GmbH (IM)")</f>
        <v/>
      </c>
      <c r="G544" s="149" t="inlineStr">
        <is>
          <t>FOLDER</t>
        </is>
      </c>
      <c r="H544" s="149" t="n"/>
      <c r="I544" s="149" t="inlineStr">
        <is>
          <t>DOWNLOAD</t>
        </is>
      </c>
      <c r="J544" s="149" t="n"/>
      <c r="K544" s="149" t="inlineStr">
        <is>
          <t>Unread</t>
        </is>
      </c>
      <c r="L544" s="152" t="n">
        <v>46176.92764111111</v>
      </c>
      <c r="M544" s="149" t="inlineStr">
        <is>
          <t>698a303143d755123c87f841</t>
        </is>
      </c>
    </row>
    <row r="545">
      <c r="A545" s="149" t="inlineStr">
        <is>
          <t>Project Notos</t>
        </is>
      </c>
      <c r="B545" s="149" t="inlineStr">
        <is>
          <t>1.6.1</t>
        </is>
      </c>
      <c r="C545" s="17" t="inlineStr">
        <is>
          <t>Corporate</t>
        </is>
      </c>
      <c r="D545" s="25" t="n"/>
      <c r="F545" s="150">
        <f>HYPERLINK("https://app.global.datasite.com/platform/container/696652ec0dc07cc02daa26a0/documents/content/index/69bd51d57f48566a39cf9069","Corporate")</f>
        <v/>
      </c>
      <c r="G545" s="149" t="inlineStr">
        <is>
          <t>FOLDER</t>
        </is>
      </c>
      <c r="H545" s="149" t="n"/>
      <c r="I545" s="149" t="inlineStr">
        <is>
          <t>DOWNLOAD</t>
        </is>
      </c>
      <c r="J545" s="149" t="n"/>
      <c r="K545" s="149" t="inlineStr">
        <is>
          <t>Unread</t>
        </is>
      </c>
      <c r="L545" s="152" t="n">
        <v>46176.92764111111</v>
      </c>
      <c r="M545" s="149" t="inlineStr">
        <is>
          <t>69bd51d57f48566a39cf9069</t>
        </is>
      </c>
    </row>
    <row r="546">
      <c r="A546" s="149" t="inlineStr">
        <is>
          <t>Project Notos</t>
        </is>
      </c>
      <c r="B546" s="149" t="inlineStr">
        <is>
          <t>1.6.1.1</t>
        </is>
      </c>
      <c r="C546" s="17" t="inlineStr">
        <is>
          <t>Company register</t>
        </is>
      </c>
      <c r="D546" s="25" t="n"/>
      <c r="F546" s="150">
        <f>HYPERLINK("https://app.global.datasite.com/platform/container/696652ec0dc07cc02daa26a0/documents/content/index/698cb865f621d51c3a4fd966","Company register")</f>
        <v/>
      </c>
      <c r="G546" s="149" t="inlineStr">
        <is>
          <t>FOLDER</t>
        </is>
      </c>
      <c r="H546" s="149" t="n"/>
      <c r="I546" s="149" t="inlineStr">
        <is>
          <t>DOWNLOAD</t>
        </is>
      </c>
      <c r="J546" s="149" t="n"/>
      <c r="K546" s="149" t="inlineStr">
        <is>
          <t>Unread</t>
        </is>
      </c>
      <c r="L546" s="152" t="n">
        <v>46176.92764111111</v>
      </c>
      <c r="M546" s="149" t="inlineStr">
        <is>
          <t>698cb865f621d51c3a4fd966</t>
        </is>
      </c>
    </row>
    <row r="547">
      <c r="A547" t="inlineStr">
        <is>
          <t>Project Notos</t>
        </is>
      </c>
      <c r="B547" t="inlineStr">
        <is>
          <t>1.6.1.1.1</t>
        </is>
      </c>
      <c r="C547" s="15" t="inlineStr">
        <is>
          <t>FB Innerio Immobilien Gmbh</t>
        </is>
      </c>
      <c r="D547" s="29" t="inlineStr">
        <is>
          <t>SHO / RZA / MHL</t>
        </is>
      </c>
      <c r="F547" s="151">
        <f>HYPERLINK("https://app.global.datasite.com/webviewer/?projectId=696652ec0dc07cc02daa26a0&amp;documentId=698cda5e20d1aa48fdb09402","FB Innerio Immobilien Gmbh")</f>
        <v/>
      </c>
      <c r="G547" t="inlineStr">
        <is>
          <t>DOCUMENT</t>
        </is>
      </c>
      <c r="H547" t="inlineStr">
        <is>
          <t>pdf</t>
        </is>
      </c>
      <c r="I547" t="inlineStr">
        <is>
          <t>DOWNLOAD</t>
        </is>
      </c>
      <c r="J547" t="n">
        <v>0.08862304</v>
      </c>
      <c r="K547" t="inlineStr">
        <is>
          <t>Unread</t>
        </is>
      </c>
      <c r="L547" s="153" t="n">
        <v>46176.92764111111</v>
      </c>
      <c r="M547" t="inlineStr">
        <is>
          <t>698cda5e20d1aa48fdb09402</t>
        </is>
      </c>
    </row>
    <row r="548">
      <c r="A548" t="inlineStr">
        <is>
          <t>Project Notos</t>
        </is>
      </c>
      <c r="B548" t="inlineStr">
        <is>
          <t>1.6.1.1.2</t>
        </is>
      </c>
      <c r="C548" s="15" t="inlineStr">
        <is>
          <t>IM_commercial register excerpt_20260219</t>
        </is>
      </c>
      <c r="D548" s="29" t="inlineStr">
        <is>
          <t>SHO / RZA / MHL</t>
        </is>
      </c>
      <c r="F548" s="151">
        <f>HYPERLINK("https://app.global.datasite.com/webviewer/?projectId=696652ec0dc07cc02daa26a0&amp;documentId=69a6de6926527aeba6fefc6e","IM_commercial register excerpt_20260219")</f>
        <v/>
      </c>
      <c r="G548" t="inlineStr">
        <is>
          <t>DOCUMENT</t>
        </is>
      </c>
      <c r="H548" t="inlineStr">
        <is>
          <t>pdf</t>
        </is>
      </c>
      <c r="I548" t="inlineStr">
        <is>
          <t>DOWNLOAD</t>
        </is>
      </c>
      <c r="J548" t="n">
        <v>0.060359</v>
      </c>
      <c r="K548" t="inlineStr">
        <is>
          <t>Unread</t>
        </is>
      </c>
      <c r="L548" s="153" t="n">
        <v>46176.92764111111</v>
      </c>
      <c r="M548" t="inlineStr">
        <is>
          <t>69a6de6926527aeba6fefc6e</t>
        </is>
      </c>
    </row>
    <row r="549">
      <c r="A549" s="149" t="inlineStr">
        <is>
          <t>Project Notos</t>
        </is>
      </c>
      <c r="B549" s="149" t="inlineStr">
        <is>
          <t>1.6.1.2</t>
        </is>
      </c>
      <c r="C549" s="17" t="inlineStr">
        <is>
          <t>Articles of association</t>
        </is>
      </c>
      <c r="D549" s="25" t="n"/>
      <c r="F549" s="150">
        <f>HYPERLINK("https://app.global.datasite.com/platform/container/696652ec0dc07cc02daa26a0/documents/content/index/698cb865f621d51c3a4fd967","Articles of association")</f>
        <v/>
      </c>
      <c r="G549" s="149" t="inlineStr">
        <is>
          <t>FOLDER</t>
        </is>
      </c>
      <c r="H549" s="149" t="n"/>
      <c r="I549" s="149" t="inlineStr">
        <is>
          <t>DOWNLOAD</t>
        </is>
      </c>
      <c r="J549" s="149" t="n"/>
      <c r="K549" s="149" t="inlineStr">
        <is>
          <t>Unread</t>
        </is>
      </c>
      <c r="L549" s="152" t="n">
        <v>46176.92764111111</v>
      </c>
      <c r="M549" s="149" t="inlineStr">
        <is>
          <t>698cb865f621d51c3a4fd967</t>
        </is>
      </c>
    </row>
    <row r="550">
      <c r="A550" t="inlineStr">
        <is>
          <t>Project Notos</t>
        </is>
      </c>
      <c r="B550" t="inlineStr">
        <is>
          <t>1.6.1.2.1</t>
        </is>
      </c>
      <c r="C550" s="15" t="inlineStr">
        <is>
          <t>IM_Declaration of establishment_authentification_Mag. Schlager_20080904</t>
        </is>
      </c>
      <c r="D550" s="29" t="inlineStr">
        <is>
          <t>SHO / RZA / MHL</t>
        </is>
      </c>
      <c r="F550" s="151">
        <f>HYPERLINK("https://app.global.datasite.com/webviewer/?projectId=696652ec0dc07cc02daa26a0&amp;documentId=698cda0d03242de6d8a34afa","IM_Declaration of establishment_authentification_Mag. Schlager_20080904")</f>
        <v/>
      </c>
      <c r="G550" t="inlineStr">
        <is>
          <t>DOCUMENT</t>
        </is>
      </c>
      <c r="H550" t="inlineStr">
        <is>
          <t>pdf</t>
        </is>
      </c>
      <c r="I550" t="inlineStr">
        <is>
          <t>DOWNLOAD</t>
        </is>
      </c>
      <c r="J550" t="n">
        <v>0.66144561</v>
      </c>
      <c r="K550" t="inlineStr">
        <is>
          <t>Unread</t>
        </is>
      </c>
      <c r="L550" s="153" t="n">
        <v>46176.92764111111</v>
      </c>
      <c r="M550" t="inlineStr">
        <is>
          <t>698cda0d03242de6d8a34afa</t>
        </is>
      </c>
    </row>
    <row r="551">
      <c r="A551" t="inlineStr">
        <is>
          <t>Project Notos</t>
        </is>
      </c>
      <c r="B551" t="inlineStr">
        <is>
          <t>1.6.1.2.2</t>
        </is>
      </c>
      <c r="C551" s="15" t="inlineStr">
        <is>
          <t>IM_declaration of establishment_20220523</t>
        </is>
      </c>
      <c r="D551" s="29" t="inlineStr">
        <is>
          <t>SHO / RZA / MHL</t>
        </is>
      </c>
      <c r="F551" s="151">
        <f>HYPERLINK("https://app.global.datasite.com/webviewer/?projectId=696652ec0dc07cc02daa26a0&amp;documentId=69a6efb8c285afd2509e229c","IM_declaration of establishment_20220523")</f>
        <v/>
      </c>
      <c r="G551" t="inlineStr">
        <is>
          <t>DOCUMENT</t>
        </is>
      </c>
      <c r="H551" t="inlineStr">
        <is>
          <t>pdf</t>
        </is>
      </c>
      <c r="I551" t="inlineStr">
        <is>
          <t>DOWNLOAD</t>
        </is>
      </c>
      <c r="J551" t="n">
        <v>0.8538179299999999</v>
      </c>
      <c r="K551" t="inlineStr">
        <is>
          <t>Unread</t>
        </is>
      </c>
      <c r="L551" s="153" t="n">
        <v>46176.92764111111</v>
      </c>
      <c r="M551" t="inlineStr">
        <is>
          <t>69a6efb8c285afd2509e229c</t>
        </is>
      </c>
    </row>
    <row r="552">
      <c r="A552" s="149" t="inlineStr">
        <is>
          <t>Project Notos</t>
        </is>
      </c>
      <c r="B552" s="149" t="inlineStr">
        <is>
          <t>1.6.1.3</t>
        </is>
      </c>
      <c r="C552" s="17" t="inlineStr">
        <is>
          <t>Shareholder resolutions</t>
        </is>
      </c>
      <c r="D552" s="25" t="n"/>
      <c r="F552" s="150">
        <f>HYPERLINK("https://app.global.datasite.com/platform/container/696652ec0dc07cc02daa26a0/documents/content/index/698cb865f621d51c3a4fd968","Shareholder resolutions")</f>
        <v/>
      </c>
      <c r="G552" s="149" t="inlineStr">
        <is>
          <t>FOLDER</t>
        </is>
      </c>
      <c r="H552" s="149" t="n"/>
      <c r="I552" s="149" t="inlineStr">
        <is>
          <t>DOWNLOAD</t>
        </is>
      </c>
      <c r="J552" s="149" t="n"/>
      <c r="K552" s="149" t="inlineStr">
        <is>
          <t>Unread</t>
        </is>
      </c>
      <c r="L552" s="152" t="n">
        <v>46176.92764111111</v>
      </c>
      <c r="M552" s="149" t="inlineStr">
        <is>
          <t>698cb865f621d51c3a4fd968</t>
        </is>
      </c>
    </row>
    <row r="553">
      <c r="A553" t="inlineStr">
        <is>
          <t>Project Notos</t>
        </is>
      </c>
      <c r="B553" t="inlineStr">
        <is>
          <t>1.6.1.3.1</t>
        </is>
      </c>
      <c r="C553" s="15" t="inlineStr">
        <is>
          <t>IM_commercial register application (re full payment of share capital)_20200622</t>
        </is>
      </c>
      <c r="D553" s="29" t="inlineStr">
        <is>
          <t>SHO / RZA / MHL</t>
        </is>
      </c>
      <c r="F553" s="151">
        <f>HYPERLINK("https://app.global.datasite.com/webviewer/?projectId=696652ec0dc07cc02daa26a0&amp;documentId=69a70bb3230eb77863f7bedc","IM_commercial register application (re full payment of share capital)_20200622")</f>
        <v/>
      </c>
      <c r="G553" t="inlineStr">
        <is>
          <t>DOCUMENT</t>
        </is>
      </c>
      <c r="H553" t="inlineStr">
        <is>
          <t>pdf</t>
        </is>
      </c>
      <c r="I553" t="inlineStr">
        <is>
          <t>DOWNLOAD</t>
        </is>
      </c>
      <c r="J553" t="n">
        <v>0.47428798</v>
      </c>
      <c r="K553" t="inlineStr">
        <is>
          <t>Unread</t>
        </is>
      </c>
      <c r="L553" s="153" t="n">
        <v>46176.92764111111</v>
      </c>
      <c r="M553" t="inlineStr">
        <is>
          <t>69a70bb3230eb77863f7bedc</t>
        </is>
      </c>
    </row>
    <row r="554">
      <c r="A554" t="inlineStr">
        <is>
          <t>Project Notos</t>
        </is>
      </c>
      <c r="B554" t="inlineStr">
        <is>
          <t>1.6.1.3.2</t>
        </is>
      </c>
      <c r="C554" s="15" t="inlineStr">
        <is>
          <t>IM_SR_250602</t>
        </is>
      </c>
      <c r="D554" s="29" t="inlineStr">
        <is>
          <t>SHO / RZA / MHL</t>
        </is>
      </c>
      <c r="F554" s="151">
        <f>HYPERLINK("https://app.global.datasite.com/webviewer/?projectId=696652ec0dc07cc02daa26a0&amp;documentId=69bd248510704bfbe0e666c1","IM_SR_250602")</f>
        <v/>
      </c>
      <c r="G554" t="inlineStr">
        <is>
          <t>DOCUMENT</t>
        </is>
      </c>
      <c r="H554" t="inlineStr">
        <is>
          <t>pdf</t>
        </is>
      </c>
      <c r="I554" t="inlineStr">
        <is>
          <t>DOWNLOAD</t>
        </is>
      </c>
      <c r="J554" t="n">
        <v>0.13159847</v>
      </c>
      <c r="K554" t="inlineStr">
        <is>
          <t>Unread</t>
        </is>
      </c>
      <c r="L554" s="153" t="n">
        <v>46176.92764111111</v>
      </c>
      <c r="M554" t="inlineStr">
        <is>
          <t>69bd248510704bfbe0e666c1</t>
        </is>
      </c>
    </row>
    <row r="555">
      <c r="A555" t="inlineStr">
        <is>
          <t>Project Notos</t>
        </is>
      </c>
      <c r="B555" t="inlineStr">
        <is>
          <t>1.6.1.3.3</t>
        </is>
      </c>
      <c r="C555" s="15" t="inlineStr">
        <is>
          <t>IM_SR_231215</t>
        </is>
      </c>
      <c r="D555" s="29" t="inlineStr">
        <is>
          <t>SHO / RZA / MHL</t>
        </is>
      </c>
      <c r="F555" s="151">
        <f>HYPERLINK("https://app.global.datasite.com/webviewer/?projectId=696652ec0dc07cc02daa26a0&amp;documentId=69bd248510704bfbe0e666c2","IM_SR_231215")</f>
        <v/>
      </c>
      <c r="G555" t="inlineStr">
        <is>
          <t>DOCUMENT</t>
        </is>
      </c>
      <c r="H555" t="inlineStr">
        <is>
          <t>pdf</t>
        </is>
      </c>
      <c r="I555" t="inlineStr">
        <is>
          <t>DOWNLOAD</t>
        </is>
      </c>
      <c r="J555" t="n">
        <v>0.30332374</v>
      </c>
      <c r="K555" t="inlineStr">
        <is>
          <t>Unread</t>
        </is>
      </c>
      <c r="L555" s="153" t="n">
        <v>46176.92764111111</v>
      </c>
      <c r="M555" t="inlineStr">
        <is>
          <t>69bd248510704bfbe0e666c2</t>
        </is>
      </c>
    </row>
    <row r="556">
      <c r="A556" t="inlineStr">
        <is>
          <t>Project Notos</t>
        </is>
      </c>
      <c r="B556" t="inlineStr">
        <is>
          <t>1.6.1.3.4</t>
        </is>
      </c>
      <c r="C556" s="15" t="inlineStr">
        <is>
          <t>IM_SR_230421</t>
        </is>
      </c>
      <c r="D556" s="29" t="inlineStr">
        <is>
          <t>SHO / RZA / MHL</t>
        </is>
      </c>
      <c r="F556" s="151">
        <f>HYPERLINK("https://app.global.datasite.com/webviewer/?projectId=696652ec0dc07cc02daa26a0&amp;documentId=69bd248510704bfbe0e666c3","IM_SR_230421")</f>
        <v/>
      </c>
      <c r="G556" t="inlineStr">
        <is>
          <t>DOCUMENT</t>
        </is>
      </c>
      <c r="H556" t="inlineStr">
        <is>
          <t>pdf</t>
        </is>
      </c>
      <c r="I556" t="inlineStr">
        <is>
          <t>DOWNLOAD</t>
        </is>
      </c>
      <c r="J556" t="n">
        <v>0.44163703</v>
      </c>
      <c r="K556" t="inlineStr">
        <is>
          <t>Unread</t>
        </is>
      </c>
      <c r="L556" s="153" t="n">
        <v>46176.92764111111</v>
      </c>
      <c r="M556" t="inlineStr">
        <is>
          <t>69bd248510704bfbe0e666c3</t>
        </is>
      </c>
    </row>
    <row r="557">
      <c r="A557" t="inlineStr">
        <is>
          <t>Project Notos</t>
        </is>
      </c>
      <c r="B557" t="inlineStr">
        <is>
          <t>1.6.1.3.5</t>
        </is>
      </c>
      <c r="C557" s="15" t="inlineStr">
        <is>
          <t>IM_SR_220615</t>
        </is>
      </c>
      <c r="D557" s="29" t="inlineStr">
        <is>
          <t>SHO / RZA / MHL</t>
        </is>
      </c>
      <c r="F557" s="151">
        <f>HYPERLINK("https://app.global.datasite.com/webviewer/?projectId=696652ec0dc07cc02daa26a0&amp;documentId=69bd248510704bfbe0e666c4","IM_SR_220615")</f>
        <v/>
      </c>
      <c r="G557" t="inlineStr">
        <is>
          <t>DOCUMENT</t>
        </is>
      </c>
      <c r="H557" t="inlineStr">
        <is>
          <t>pdf</t>
        </is>
      </c>
      <c r="I557" t="inlineStr">
        <is>
          <t>DOWNLOAD</t>
        </is>
      </c>
      <c r="J557" t="n">
        <v>0.0830326</v>
      </c>
      <c r="K557" t="inlineStr">
        <is>
          <t>Unread</t>
        </is>
      </c>
      <c r="L557" s="153" t="n">
        <v>46176.92764111111</v>
      </c>
      <c r="M557" t="inlineStr">
        <is>
          <t>69bd248510704bfbe0e666c4</t>
        </is>
      </c>
    </row>
    <row r="558">
      <c r="A558" t="inlineStr">
        <is>
          <t>Project Notos</t>
        </is>
      </c>
      <c r="B558" t="inlineStr">
        <is>
          <t>1.6.1.3.6</t>
        </is>
      </c>
      <c r="C558" s="15" t="inlineStr">
        <is>
          <t>IM_SR_210630</t>
        </is>
      </c>
      <c r="D558" s="29" t="inlineStr">
        <is>
          <t>SHO / RZA / MHL</t>
        </is>
      </c>
      <c r="F558" s="151">
        <f>HYPERLINK("https://app.global.datasite.com/webviewer/?projectId=696652ec0dc07cc02daa26a0&amp;documentId=69bd248510704bfbe0e666c5","IM_SR_210630")</f>
        <v/>
      </c>
      <c r="G558" t="inlineStr">
        <is>
          <t>DOCUMENT</t>
        </is>
      </c>
      <c r="H558" t="inlineStr">
        <is>
          <t>pdf</t>
        </is>
      </c>
      <c r="I558" t="inlineStr">
        <is>
          <t>DOWNLOAD</t>
        </is>
      </c>
      <c r="J558" t="n">
        <v>0.09040355</v>
      </c>
      <c r="K558" t="inlineStr">
        <is>
          <t>Unread</t>
        </is>
      </c>
      <c r="L558" s="153" t="n">
        <v>46176.92764111111</v>
      </c>
      <c r="M558" t="inlineStr">
        <is>
          <t>69bd248510704bfbe0e666c5</t>
        </is>
      </c>
    </row>
    <row r="559">
      <c r="A559" t="inlineStr">
        <is>
          <t>Project Notos</t>
        </is>
      </c>
      <c r="B559" t="inlineStr">
        <is>
          <t>1.6.1.3.7</t>
        </is>
      </c>
      <c r="C559" s="15" t="inlineStr">
        <is>
          <t>IM_SR_201002</t>
        </is>
      </c>
      <c r="D559" s="29" t="inlineStr">
        <is>
          <t>SHO / RZA / MHL</t>
        </is>
      </c>
      <c r="F559" s="151">
        <f>HYPERLINK("https://app.global.datasite.com/webviewer/?projectId=696652ec0dc07cc02daa26a0&amp;documentId=69bd248510704bfbe0e666c6","IM_SR_201002")</f>
        <v/>
      </c>
      <c r="G559" t="inlineStr">
        <is>
          <t>DOCUMENT</t>
        </is>
      </c>
      <c r="H559" t="inlineStr">
        <is>
          <t>pdf</t>
        </is>
      </c>
      <c r="I559" t="inlineStr">
        <is>
          <t>DOWNLOAD</t>
        </is>
      </c>
      <c r="J559" t="n">
        <v>0.7893238</v>
      </c>
      <c r="K559" t="inlineStr">
        <is>
          <t>Unread</t>
        </is>
      </c>
      <c r="L559" s="153" t="n">
        <v>46176.92764111111</v>
      </c>
      <c r="M559" t="inlineStr">
        <is>
          <t>69bd248510704bfbe0e666c6</t>
        </is>
      </c>
    </row>
    <row r="560">
      <c r="A560" t="inlineStr">
        <is>
          <t>Project Notos</t>
        </is>
      </c>
      <c r="B560" t="inlineStr">
        <is>
          <t>1.6.1.3.8</t>
        </is>
      </c>
      <c r="C560" s="15" t="inlineStr">
        <is>
          <t>IM_SR_180430</t>
        </is>
      </c>
      <c r="D560" s="29" t="inlineStr">
        <is>
          <t>SHO / RZA / MHL</t>
        </is>
      </c>
      <c r="F560" s="151">
        <f>HYPERLINK("https://app.global.datasite.com/webviewer/?projectId=696652ec0dc07cc02daa26a0&amp;documentId=69bd248510704bfbe0e666c7","IM_SR_180430")</f>
        <v/>
      </c>
      <c r="G560" t="inlineStr">
        <is>
          <t>DOCUMENT</t>
        </is>
      </c>
      <c r="H560" t="inlineStr">
        <is>
          <t>pdf</t>
        </is>
      </c>
      <c r="I560" t="inlineStr">
        <is>
          <t>DOWNLOAD</t>
        </is>
      </c>
      <c r="J560" t="n">
        <v>0.31057643</v>
      </c>
      <c r="K560" t="inlineStr">
        <is>
          <t>Unread</t>
        </is>
      </c>
      <c r="L560" s="153" t="n">
        <v>46176.92764111111</v>
      </c>
      <c r="M560" t="inlineStr">
        <is>
          <t>69bd248510704bfbe0e666c7</t>
        </is>
      </c>
    </row>
    <row r="561">
      <c r="A561" t="inlineStr">
        <is>
          <t>Project Notos</t>
        </is>
      </c>
      <c r="B561" t="inlineStr">
        <is>
          <t>1.6.1.3.9</t>
        </is>
      </c>
      <c r="C561" s="15" t="inlineStr">
        <is>
          <t>IM_SR_180417</t>
        </is>
      </c>
      <c r="D561" s="29" t="inlineStr">
        <is>
          <t>SHO / RZA / MHL</t>
        </is>
      </c>
      <c r="F561" s="151">
        <f>HYPERLINK("https://app.global.datasite.com/webviewer/?projectId=696652ec0dc07cc02daa26a0&amp;documentId=69bd248510704bfbe0e666c8","IM_SR_180417")</f>
        <v/>
      </c>
      <c r="G561" t="inlineStr">
        <is>
          <t>DOCUMENT</t>
        </is>
      </c>
      <c r="H561" t="inlineStr">
        <is>
          <t>pdf</t>
        </is>
      </c>
      <c r="I561" t="inlineStr">
        <is>
          <t>DOWNLOAD</t>
        </is>
      </c>
      <c r="J561" t="n">
        <v>0.29859638</v>
      </c>
      <c r="K561" t="inlineStr">
        <is>
          <t>Unread</t>
        </is>
      </c>
      <c r="L561" s="153" t="n">
        <v>46176.92764111111</v>
      </c>
      <c r="M561" t="inlineStr">
        <is>
          <t>69bd248510704bfbe0e666c8</t>
        </is>
      </c>
    </row>
    <row r="562">
      <c r="A562" s="149" t="inlineStr">
        <is>
          <t>Project Notos</t>
        </is>
      </c>
      <c r="B562" s="149" t="inlineStr">
        <is>
          <t>1.6.1.4</t>
        </is>
      </c>
      <c r="C562" s="17" t="inlineStr">
        <is>
          <t>Company agreements</t>
        </is>
      </c>
      <c r="D562" s="25" t="n"/>
      <c r="F562" s="150">
        <f>HYPERLINK("https://app.global.datasite.com/platform/container/696652ec0dc07cc02daa26a0/documents/content/index/69bd24c410704bfbe0e6674b","Company agreements")</f>
        <v/>
      </c>
      <c r="G562" s="149" t="inlineStr">
        <is>
          <t>FOLDER</t>
        </is>
      </c>
      <c r="H562" s="149" t="n"/>
      <c r="I562" s="149" t="inlineStr">
        <is>
          <t>DOWNLOAD</t>
        </is>
      </c>
      <c r="J562" s="149" t="n"/>
      <c r="K562" s="149" t="inlineStr">
        <is>
          <t>Unread</t>
        </is>
      </c>
      <c r="L562" s="152" t="n">
        <v>46176.92764111111</v>
      </c>
      <c r="M562" s="149" t="inlineStr">
        <is>
          <t>69bd24c410704bfbe0e6674b</t>
        </is>
      </c>
    </row>
    <row r="563">
      <c r="A563" t="inlineStr">
        <is>
          <t>Project Notos</t>
        </is>
      </c>
      <c r="B563" t="inlineStr">
        <is>
          <t>1.6.1.4.1</t>
        </is>
      </c>
      <c r="C563" s="15" t="inlineStr">
        <is>
          <t>IM_group service agreement_241230</t>
        </is>
      </c>
      <c r="D563" s="22" t="inlineStr">
        <is>
          <t>HBU / FDE</t>
        </is>
      </c>
      <c r="F563" s="151">
        <f>HYPERLINK("https://app.global.datasite.com/webviewer/?projectId=696652ec0dc07cc02daa26a0&amp;documentId=69bd24f14c25e35a4fef4763","IM_group service agreement_241230")</f>
        <v/>
      </c>
      <c r="G563" t="inlineStr">
        <is>
          <t>DOCUMENT</t>
        </is>
      </c>
      <c r="H563" t="inlineStr">
        <is>
          <t>pdf</t>
        </is>
      </c>
      <c r="I563" t="inlineStr">
        <is>
          <t>DOWNLOAD</t>
        </is>
      </c>
      <c r="J563" t="n">
        <v>0.27160263</v>
      </c>
      <c r="K563" t="inlineStr">
        <is>
          <t>Unread</t>
        </is>
      </c>
      <c r="L563" s="153" t="n">
        <v>46176.92764111111</v>
      </c>
      <c r="M563" t="inlineStr">
        <is>
          <t>69bd24f14c25e35a4fef4763</t>
        </is>
      </c>
    </row>
    <row r="564">
      <c r="A564" s="149" t="inlineStr">
        <is>
          <t>Project Notos</t>
        </is>
      </c>
      <c r="B564" s="149" t="inlineStr">
        <is>
          <t>1.6.2</t>
        </is>
      </c>
      <c r="C564" s="17" t="inlineStr">
        <is>
          <t xml:space="preserve">Financing </t>
        </is>
      </c>
      <c r="D564" s="25" t="n"/>
      <c r="F564" s="150">
        <f>HYPERLINK("https://app.global.datasite.com/platform/container/696652ec0dc07cc02daa26a0/documents/content/index/69bd22ff10704bfbe0e66695","Financing ")</f>
        <v/>
      </c>
      <c r="G564" s="149" t="inlineStr">
        <is>
          <t>FOLDER</t>
        </is>
      </c>
      <c r="H564" s="149" t="n"/>
      <c r="I564" s="149" t="inlineStr">
        <is>
          <t>DOWNLOAD</t>
        </is>
      </c>
      <c r="J564" s="149" t="n"/>
      <c r="K564" s="149" t="inlineStr">
        <is>
          <t>Unread</t>
        </is>
      </c>
      <c r="L564" s="152" t="n">
        <v>46176.92764111111</v>
      </c>
      <c r="M564" s="149" t="inlineStr">
        <is>
          <t>69bd22ff10704bfbe0e66695</t>
        </is>
      </c>
    </row>
    <row r="565">
      <c r="A565" s="149" t="inlineStr">
        <is>
          <t>Project Notos</t>
        </is>
      </c>
      <c r="B565" s="149" t="inlineStr">
        <is>
          <t>1.6.2.1</t>
        </is>
      </c>
      <c r="C565" s="17" t="inlineStr">
        <is>
          <t>ERSTE Bank</t>
        </is>
      </c>
      <c r="D565" s="25" t="n"/>
      <c r="F565" s="150">
        <f>HYPERLINK("https://app.global.datasite.com/platform/container/696652ec0dc07cc02daa26a0/documents/content/index/698cd0dc91a86cab0ede7f1d","ERSTE Bank")</f>
        <v/>
      </c>
      <c r="G565" s="149" t="inlineStr">
        <is>
          <t>FOLDER</t>
        </is>
      </c>
      <c r="H565" s="149" t="n"/>
      <c r="I565" s="149" t="inlineStr">
        <is>
          <t>DOWNLOAD</t>
        </is>
      </c>
      <c r="J565" s="149" t="n"/>
      <c r="K565" s="149" t="inlineStr">
        <is>
          <t>Unread</t>
        </is>
      </c>
      <c r="L565" s="152" t="n">
        <v>46176.92764111111</v>
      </c>
      <c r="M565" s="149" t="inlineStr">
        <is>
          <t>698cd0dc91a86cab0ede7f1d</t>
        </is>
      </c>
    </row>
    <row r="566">
      <c r="A566" t="inlineStr">
        <is>
          <t>Project Notos</t>
        </is>
      </c>
      <c r="B566" t="inlineStr">
        <is>
          <t>1.6.2.1.1</t>
        </is>
      </c>
      <c r="C566" s="15" t="inlineStr">
        <is>
          <t>IM_loan agreement 1M erste bank_221219</t>
        </is>
      </c>
      <c r="D566" s="23" t="inlineStr">
        <is>
          <t>PSH / DSN / TOR</t>
        </is>
      </c>
      <c r="F566" s="151">
        <f>HYPERLINK("https://app.global.datasite.com/webviewer/?projectId=696652ec0dc07cc02daa26a0&amp;documentId=69bd255510704bfbe0e667ab","IM_loan agreement 1M erste bank_221219")</f>
        <v/>
      </c>
      <c r="G566" t="inlineStr">
        <is>
          <t>DOCUMENT</t>
        </is>
      </c>
      <c r="H566" t="inlineStr">
        <is>
          <t>pdf</t>
        </is>
      </c>
      <c r="I566" t="inlineStr">
        <is>
          <t>DOWNLOAD</t>
        </is>
      </c>
      <c r="J566" t="n">
        <v>1.46698856</v>
      </c>
      <c r="K566" t="inlineStr">
        <is>
          <t>Unread</t>
        </is>
      </c>
      <c r="L566" s="153" t="n">
        <v>46176.92764111111</v>
      </c>
      <c r="M566" t="inlineStr">
        <is>
          <t>69bd255510704bfbe0e667ab</t>
        </is>
      </c>
    </row>
    <row r="567">
      <c r="A567" t="inlineStr">
        <is>
          <t>Project Notos</t>
        </is>
      </c>
      <c r="B567" t="inlineStr">
        <is>
          <t>1.6.2.1.2</t>
        </is>
      </c>
      <c r="C567" s="15" t="inlineStr">
        <is>
          <t>IM_loan agreement 6M erste bank_221219</t>
        </is>
      </c>
      <c r="D567" s="23" t="inlineStr">
        <is>
          <t>PSH / DSN / TOR</t>
        </is>
      </c>
      <c r="F567" s="151">
        <f>HYPERLINK("https://app.global.datasite.com/webviewer/?projectId=696652ec0dc07cc02daa26a0&amp;documentId=69bd255510704bfbe0e667ac","IM_loan agreement 6M erste bank_221219")</f>
        <v/>
      </c>
      <c r="G567" t="inlineStr">
        <is>
          <t>DOCUMENT</t>
        </is>
      </c>
      <c r="H567" t="inlineStr">
        <is>
          <t>pdf</t>
        </is>
      </c>
      <c r="I567" t="inlineStr">
        <is>
          <t>DOWNLOAD</t>
        </is>
      </c>
      <c r="J567" t="n">
        <v>1.30721282</v>
      </c>
      <c r="K567" t="inlineStr">
        <is>
          <t>Unread</t>
        </is>
      </c>
      <c r="L567" s="153" t="n">
        <v>46176.92764111111</v>
      </c>
      <c r="M567" t="inlineStr">
        <is>
          <t>69bd255510704bfbe0e667ac</t>
        </is>
      </c>
    </row>
    <row r="568">
      <c r="A568" t="inlineStr">
        <is>
          <t>Project Notos</t>
        </is>
      </c>
      <c r="B568" t="inlineStr">
        <is>
          <t>1.6.2.1.3</t>
        </is>
      </c>
      <c r="C568" s="15" t="inlineStr">
        <is>
          <t>IM_pledge erste bank_221212</t>
        </is>
      </c>
      <c r="D568" s="23" t="inlineStr">
        <is>
          <t>PSH / DSN / TOR</t>
        </is>
      </c>
      <c r="F568" s="151">
        <f>HYPERLINK("https://app.global.datasite.com/webviewer/?projectId=696652ec0dc07cc02daa26a0&amp;documentId=69bd232575065b28e9b73bd9","IM_pledge erste bank_221212")</f>
        <v/>
      </c>
      <c r="G568" t="inlineStr">
        <is>
          <t>DOCUMENT</t>
        </is>
      </c>
      <c r="H568" t="inlineStr">
        <is>
          <t>pdf</t>
        </is>
      </c>
      <c r="I568" t="inlineStr">
        <is>
          <t>DOWNLOAD</t>
        </is>
      </c>
      <c r="J568" t="n">
        <v>0.69263648</v>
      </c>
      <c r="K568" t="inlineStr">
        <is>
          <t>Unread</t>
        </is>
      </c>
      <c r="L568" s="153" t="n">
        <v>46176.92764111111</v>
      </c>
      <c r="M568" t="inlineStr">
        <is>
          <t>69bd232575065b28e9b73bd9</t>
        </is>
      </c>
    </row>
    <row r="569">
      <c r="A569" t="inlineStr">
        <is>
          <t>Project Notos</t>
        </is>
      </c>
      <c r="B569" t="inlineStr">
        <is>
          <t>1.6.2.1.4</t>
        </is>
      </c>
      <c r="C569" s="15" t="inlineStr">
        <is>
          <t>IM_consent insurance register erste bank_221219</t>
        </is>
      </c>
      <c r="D569" s="23" t="inlineStr">
        <is>
          <t>PSH / DSN / TOR</t>
        </is>
      </c>
      <c r="F569" s="151">
        <f>HYPERLINK("https://app.global.datasite.com/webviewer/?projectId=696652ec0dc07cc02daa26a0&amp;documentId=69bd255510704bfbe0e667ad","IM_consent insurance register erste bank_221219")</f>
        <v/>
      </c>
      <c r="G569" t="inlineStr">
        <is>
          <t>DOCUMENT</t>
        </is>
      </c>
      <c r="H569" t="inlineStr">
        <is>
          <t>pdf</t>
        </is>
      </c>
      <c r="I569" t="inlineStr">
        <is>
          <t>DOWNLOAD</t>
        </is>
      </c>
      <c r="J569" t="n">
        <v>0.16212368</v>
      </c>
      <c r="K569" t="inlineStr">
        <is>
          <t>Unread</t>
        </is>
      </c>
      <c r="L569" s="153" t="n">
        <v>46176.92764111111</v>
      </c>
      <c r="M569" t="inlineStr">
        <is>
          <t>69bd255510704bfbe0e667ad</t>
        </is>
      </c>
    </row>
    <row r="570">
      <c r="A570" t="inlineStr">
        <is>
          <t>Project Notos</t>
        </is>
      </c>
      <c r="B570" t="inlineStr">
        <is>
          <t>1.6.2.1.5</t>
        </is>
      </c>
      <c r="C570" s="15" t="inlineStr">
        <is>
          <t>IM_request for blocking certificate insurance erste bank_221201</t>
        </is>
      </c>
      <c r="D570" s="23" t="inlineStr">
        <is>
          <t>PSH / DSN / TOR</t>
        </is>
      </c>
      <c r="F570" s="151">
        <f>HYPERLINK("https://app.global.datasite.com/webviewer/?projectId=696652ec0dc07cc02daa26a0&amp;documentId=69bd255510704bfbe0e667ae","IM_request for blocking certificate insurance erste bank_221201")</f>
        <v/>
      </c>
      <c r="G570" t="inlineStr">
        <is>
          <t>DOCUMENT</t>
        </is>
      </c>
      <c r="H570" t="inlineStr">
        <is>
          <t>pdf</t>
        </is>
      </c>
      <c r="I570" t="inlineStr">
        <is>
          <t>DOWNLOAD</t>
        </is>
      </c>
      <c r="J570" t="n">
        <v>0.22653388</v>
      </c>
      <c r="K570" t="inlineStr">
        <is>
          <t>Unread</t>
        </is>
      </c>
      <c r="L570" s="153" t="n">
        <v>46176.92764111111</v>
      </c>
      <c r="M570" t="inlineStr">
        <is>
          <t>69bd255510704bfbe0e667ae</t>
        </is>
      </c>
    </row>
    <row r="571">
      <c r="A571" t="inlineStr">
        <is>
          <t>Project Notos</t>
        </is>
      </c>
      <c r="B571" t="inlineStr">
        <is>
          <t>1.6.2.1.6</t>
        </is>
      </c>
      <c r="C571" t="inlineStr">
        <is>
          <t>IM_WAIVER + NEUVEREINBARUNG EK Quote Kto 01</t>
        </is>
      </c>
      <c r="D571" s="23" t="inlineStr">
        <is>
          <t>PSH / DSN / TOR</t>
        </is>
      </c>
      <c r="F571" s="151">
        <f>HYPERLINK("https://app.global.datasite.com/webviewer/?projectId=696652ec0dc07cc02daa26a0&amp;documentId=6a284322a91d92b8d6970987","IM_WAIVER + NEUVEREINBARUNG EK Quote Kto 01")</f>
        <v/>
      </c>
      <c r="G571" t="inlineStr">
        <is>
          <t>DOCUMENT</t>
        </is>
      </c>
      <c r="H571" t="inlineStr">
        <is>
          <t>pdf</t>
        </is>
      </c>
      <c r="I571" t="inlineStr">
        <is>
          <t>DOWNLOAD</t>
        </is>
      </c>
      <c r="J571" t="n">
        <v>0.23167991</v>
      </c>
      <c r="K571" t="inlineStr">
        <is>
          <t>Unread</t>
        </is>
      </c>
      <c r="L571" s="153" t="n">
        <v>46182.93501594907</v>
      </c>
      <c r="M571" t="inlineStr">
        <is>
          <t>6a284322a91d92b8d6970987</t>
        </is>
      </c>
    </row>
    <row r="572">
      <c r="A572" s="149" t="inlineStr">
        <is>
          <t>Project Notos</t>
        </is>
      </c>
      <c r="B572" s="149" t="inlineStr">
        <is>
          <t>1.6.2.2</t>
        </is>
      </c>
      <c r="C572" s="17" t="inlineStr">
        <is>
          <t>IC loans</t>
        </is>
      </c>
      <c r="D572" s="25" t="n"/>
      <c r="F572" s="150">
        <f>HYPERLINK("https://app.global.datasite.com/platform/container/696652ec0dc07cc02daa26a0/documents/content/index/69f1dfaec283903483f22482","IC loans")</f>
        <v/>
      </c>
      <c r="G572" s="149" t="inlineStr">
        <is>
          <t>FOLDER</t>
        </is>
      </c>
      <c r="H572" s="149" t="n"/>
      <c r="I572" s="149" t="inlineStr">
        <is>
          <t>DOWNLOAD</t>
        </is>
      </c>
      <c r="J572" s="149" t="n"/>
      <c r="K572" s="149" t="inlineStr">
        <is>
          <t>Unread</t>
        </is>
      </c>
      <c r="L572" s="152" t="n">
        <v>46176.92764111111</v>
      </c>
      <c r="M572" s="149" t="inlineStr">
        <is>
          <t>69f1dfaec283903483f22482</t>
        </is>
      </c>
    </row>
    <row r="573">
      <c r="A573" t="inlineStr">
        <is>
          <t>Project Notos</t>
        </is>
      </c>
      <c r="B573" t="inlineStr">
        <is>
          <t>1.6.2.2.1</t>
        </is>
      </c>
      <c r="C573" s="15" t="inlineStr">
        <is>
          <t>IM_loan agreement IG_221222</t>
        </is>
      </c>
      <c r="D573" s="23" t="inlineStr">
        <is>
          <t>PSH / DSN / TOR</t>
        </is>
      </c>
      <c r="F573" s="151">
        <f>HYPERLINK("https://app.global.datasite.com/webviewer/?projectId=696652ec0dc07cc02daa26a0&amp;documentId=69bd24e5de0718c1a05fd4a1","IM_loan agreement IG_221222")</f>
        <v/>
      </c>
      <c r="G573" t="inlineStr">
        <is>
          <t>DOCUMENT</t>
        </is>
      </c>
      <c r="H573" t="inlineStr">
        <is>
          <t>pdf</t>
        </is>
      </c>
      <c r="I573" t="inlineStr">
        <is>
          <t>DOWNLOAD</t>
        </is>
      </c>
      <c r="J573" t="n">
        <v>0.34379291</v>
      </c>
      <c r="K573" t="inlineStr">
        <is>
          <t>Unread</t>
        </is>
      </c>
      <c r="L573" s="153" t="n">
        <v>46176.92764111111</v>
      </c>
      <c r="M573" t="inlineStr">
        <is>
          <t>69bd24e5de0718c1a05fd4a1</t>
        </is>
      </c>
    </row>
    <row r="574">
      <c r="A574" s="149" t="inlineStr">
        <is>
          <t>Project Notos</t>
        </is>
      </c>
      <c r="B574" s="149" t="inlineStr">
        <is>
          <t>1.6.2.3</t>
        </is>
      </c>
      <c r="C574" s="17" t="inlineStr">
        <is>
          <t>Shareholder loan</t>
        </is>
      </c>
      <c r="D574" s="25" t="n"/>
      <c r="F574" s="150">
        <f>HYPERLINK("https://app.global.datasite.com/platform/container/696652ec0dc07cc02daa26a0/documents/content/index/6a1db4f5ece0f7142bed248c","Shareholder loan")</f>
        <v/>
      </c>
      <c r="G574" s="149" t="inlineStr">
        <is>
          <t>FOLDER</t>
        </is>
      </c>
      <c r="H574" s="149" t="n"/>
      <c r="I574" s="149" t="inlineStr">
        <is>
          <t>DOWNLOAD</t>
        </is>
      </c>
      <c r="J574" s="149" t="n"/>
      <c r="K574" s="149" t="inlineStr">
        <is>
          <t>Unread</t>
        </is>
      </c>
      <c r="L574" s="152" t="n">
        <v>46176.92764111111</v>
      </c>
      <c r="M574" s="149" t="inlineStr">
        <is>
          <t>6a1db4f5ece0f7142bed248c</t>
        </is>
      </c>
    </row>
    <row r="575">
      <c r="A575" s="149" t="inlineStr">
        <is>
          <t>Project Notos</t>
        </is>
      </c>
      <c r="B575" s="149" t="inlineStr">
        <is>
          <t>1.6.2.3.1</t>
        </is>
      </c>
      <c r="C575" s="17" t="inlineStr">
        <is>
          <t>Z.A.P.T</t>
        </is>
      </c>
      <c r="D575" s="25" t="n"/>
      <c r="F575" s="150">
        <f>HYPERLINK("https://app.global.datasite.com/platform/container/696652ec0dc07cc02daa26a0/documents/content/index/6a1db507a30300007eafdcfe","Z.A.P.T")</f>
        <v/>
      </c>
      <c r="G575" s="149" t="inlineStr">
        <is>
          <t>FOLDER</t>
        </is>
      </c>
      <c r="H575" s="149" t="n"/>
      <c r="I575" s="149" t="inlineStr">
        <is>
          <t>DOWNLOAD</t>
        </is>
      </c>
      <c r="J575" s="149" t="n"/>
      <c r="K575" s="149" t="inlineStr">
        <is>
          <t>Unread</t>
        </is>
      </c>
      <c r="L575" s="152" t="n">
        <v>46176.92764111111</v>
      </c>
      <c r="M575" s="149" t="inlineStr">
        <is>
          <t>6a1db507a30300007eafdcfe</t>
        </is>
      </c>
    </row>
    <row r="576">
      <c r="A576" t="inlineStr">
        <is>
          <t>Project Notos</t>
        </is>
      </c>
      <c r="B576" t="inlineStr">
        <is>
          <t>1.6.2.3.1.1</t>
        </is>
      </c>
      <c r="C576" s="15" t="inlineStr">
        <is>
          <t>20260507_Verlängerung1 Darlehen_365.000_Z.A.P.T Beteil. GmbH_Innerio Immobilien GmbH-12.27-signed2</t>
        </is>
      </c>
      <c r="D576" s="23" t="inlineStr">
        <is>
          <t>PSH / DSN / TOR</t>
        </is>
      </c>
      <c r="F576" s="151">
        <f>HYPERLINK("https://app.global.datasite.com/webviewer/?projectId=696652ec0dc07cc02daa26a0&amp;documentId=6a1db5105e05b660ca6d1589","20260507_Verlängerung1 Darlehen_365.000_Z.A.P.T Beteil. GmbH_Innerio Immobilien GmbH-12.27-signed2")</f>
        <v/>
      </c>
      <c r="G576" t="inlineStr">
        <is>
          <t>DOCUMENT</t>
        </is>
      </c>
      <c r="H576" t="inlineStr">
        <is>
          <t>pdf</t>
        </is>
      </c>
      <c r="I576" t="inlineStr">
        <is>
          <t>DOWNLOAD</t>
        </is>
      </c>
      <c r="J576" t="n">
        <v>0.06222534</v>
      </c>
      <c r="K576" t="inlineStr">
        <is>
          <t>Unread</t>
        </is>
      </c>
      <c r="L576" s="153" t="n">
        <v>46176.92764111111</v>
      </c>
      <c r="M576" t="inlineStr">
        <is>
          <t>6a1db5105e05b660ca6d1589</t>
        </is>
      </c>
    </row>
    <row r="577">
      <c r="A577" s="149" t="inlineStr">
        <is>
          <t>Project Notos</t>
        </is>
      </c>
      <c r="B577" s="149" t="inlineStr">
        <is>
          <t>1.6.2.3.2</t>
        </is>
      </c>
      <c r="C577" s="149" t="inlineStr">
        <is>
          <t>CK</t>
        </is>
      </c>
      <c r="F577" s="150" t="n">
        <v>0</v>
      </c>
      <c r="G577" s="149" t="inlineStr">
        <is>
          <t>FOLDER</t>
        </is>
      </c>
      <c r="H577" s="149" t="n"/>
      <c r="I577" s="149" t="inlineStr">
        <is>
          <t>DOWNLOAD</t>
        </is>
      </c>
      <c r="J577" s="149" t="n"/>
      <c r="K577" s="149" t="inlineStr">
        <is>
          <t>Unread</t>
        </is>
      </c>
      <c r="L577" s="152" t="n">
        <v>46181.87878743056</v>
      </c>
      <c r="M577" s="149" t="inlineStr">
        <is>
          <t>6a26e278481d4ded4b56b3fd</t>
        </is>
      </c>
    </row>
    <row r="578">
      <c r="A578" t="inlineStr">
        <is>
          <t>Project Notos</t>
        </is>
      </c>
      <c r="B578" t="inlineStr">
        <is>
          <t>1.6.2.3.2.1</t>
        </is>
      </c>
      <c r="C578" t="inlineStr">
        <is>
          <t>IIG_Prolongation Loan_85.000_12.27_signed2_20260421</t>
        </is>
      </c>
      <c r="D578" s="23" t="inlineStr">
        <is>
          <t>PSH / DSN / TOR</t>
        </is>
      </c>
      <c r="F578" s="151" t="n">
        <v>0</v>
      </c>
      <c r="G578" t="inlineStr">
        <is>
          <t>DOCUMENT</t>
        </is>
      </c>
      <c r="H578" t="inlineStr">
        <is>
          <t>pdf</t>
        </is>
      </c>
      <c r="I578" t="inlineStr">
        <is>
          <t>DOWNLOAD</t>
        </is>
      </c>
      <c r="J578" t="n">
        <v>0.32407283</v>
      </c>
      <c r="K578" t="inlineStr">
        <is>
          <t>Unread</t>
        </is>
      </c>
      <c r="L578" s="153" t="n">
        <v>46181.87878743056</v>
      </c>
      <c r="M578" t="inlineStr">
        <is>
          <t>6a26dc61a7f5fa5e1ea1d2fd</t>
        </is>
      </c>
    </row>
    <row r="579">
      <c r="A579" s="149" t="inlineStr">
        <is>
          <t>Project Notos</t>
        </is>
      </c>
      <c r="B579" s="149" t="inlineStr">
        <is>
          <t>1.6.3</t>
        </is>
      </c>
      <c r="C579" s="17" t="inlineStr">
        <is>
          <t>Real Estate</t>
        </is>
      </c>
      <c r="D579" s="25" t="n"/>
      <c r="F579" s="150">
        <f>HYPERLINK("https://app.global.datasite.com/platform/container/696652ec0dc07cc02daa26a0/documents/content/index/69bd51d57f48566a39cf906a","Real Estate")</f>
        <v/>
      </c>
      <c r="G579" s="149" t="inlineStr">
        <is>
          <t>FOLDER</t>
        </is>
      </c>
      <c r="H579" s="149" t="n"/>
      <c r="I579" s="149" t="inlineStr">
        <is>
          <t>DOWNLOAD</t>
        </is>
      </c>
      <c r="J579" s="149" t="n"/>
      <c r="K579" s="149" t="inlineStr">
        <is>
          <t>Unread</t>
        </is>
      </c>
      <c r="L579" s="152" t="n">
        <v>46176.92764111111</v>
      </c>
      <c r="M579" s="149" t="inlineStr">
        <is>
          <t>69bd51d57f48566a39cf906a</t>
        </is>
      </c>
    </row>
    <row r="580">
      <c r="A580" s="149" t="inlineStr">
        <is>
          <t>Project Notos</t>
        </is>
      </c>
      <c r="B580" s="149" t="inlineStr">
        <is>
          <t>1.6.3.1</t>
        </is>
      </c>
      <c r="C580" s="17" t="inlineStr">
        <is>
          <t>Rental contracts</t>
        </is>
      </c>
      <c r="D580" s="25" t="n"/>
      <c r="F580" s="150">
        <f>HYPERLINK("https://app.global.datasite.com/platform/container/696652ec0dc07cc02daa26a0/documents/content/index/69b0435120e1824fe95868ec","Rental contracts")</f>
        <v/>
      </c>
      <c r="G580" s="149" t="inlineStr">
        <is>
          <t>FOLDER</t>
        </is>
      </c>
      <c r="H580" s="149" t="n"/>
      <c r="I580" s="149" t="inlineStr">
        <is>
          <t>DOWNLOAD</t>
        </is>
      </c>
      <c r="J580" s="149" t="n"/>
      <c r="K580" s="149" t="inlineStr">
        <is>
          <t>Unread</t>
        </is>
      </c>
      <c r="L580" s="152" t="n">
        <v>46176.92764111111</v>
      </c>
      <c r="M580" s="149" t="inlineStr">
        <is>
          <t>69b0435120e1824fe95868ec</t>
        </is>
      </c>
    </row>
    <row r="581">
      <c r="A581" t="inlineStr">
        <is>
          <t>Project Notos</t>
        </is>
      </c>
      <c r="B581" t="inlineStr">
        <is>
          <t>1.6.3.1.1</t>
        </is>
      </c>
      <c r="C581" s="15" t="inlineStr">
        <is>
          <t>Bestandvertrag IIM_IHE (former Modine Austria GmbH)</t>
        </is>
      </c>
      <c r="D581" s="32" t="inlineStr">
        <is>
          <t>AKR / YBO</t>
        </is>
      </c>
      <c r="F581" s="151">
        <f>HYPERLINK("https://app.global.datasite.com/webviewer/?projectId=696652ec0dc07cc02daa26a0&amp;documentId=698cce6215e348f1a2434eee","Bestandvertrag IIM_IHE (former Modine Austria GmbH)")</f>
        <v/>
      </c>
      <c r="G581" t="inlineStr">
        <is>
          <t>DOCUMENT</t>
        </is>
      </c>
      <c r="H581" t="inlineStr">
        <is>
          <t>pdf</t>
        </is>
      </c>
      <c r="I581" t="inlineStr">
        <is>
          <t>DOWNLOAD</t>
        </is>
      </c>
      <c r="J581" t="n">
        <v>6.20511627</v>
      </c>
      <c r="K581" t="inlineStr">
        <is>
          <t>Unread</t>
        </is>
      </c>
      <c r="L581" s="153" t="n">
        <v>46176.92764111111</v>
      </c>
      <c r="M581" t="inlineStr">
        <is>
          <t>698cce6215e348f1a2434eee</t>
        </is>
      </c>
    </row>
    <row r="582">
      <c r="A582" t="inlineStr">
        <is>
          <t>Project Notos</t>
        </is>
      </c>
      <c r="B582" t="inlineStr">
        <is>
          <t>1.6.3.1.2</t>
        </is>
      </c>
      <c r="C582" s="15" t="inlineStr">
        <is>
          <t>Pachtvertrag_PV Anlage_IIM_IHE</t>
        </is>
      </c>
      <c r="D582" s="32" t="inlineStr">
        <is>
          <t>AKR / YBO</t>
        </is>
      </c>
      <c r="F582" s="151">
        <f>HYPERLINK("https://app.global.datasite.com/webviewer/?projectId=696652ec0dc07cc02daa26a0&amp;documentId=698ccdd78fcbcde218d8ec59","Pachtvertrag_PV Anlage_IIM_IHE")</f>
        <v/>
      </c>
      <c r="G582" t="inlineStr">
        <is>
          <t>DOCUMENT</t>
        </is>
      </c>
      <c r="H582" t="inlineStr">
        <is>
          <t>pdf</t>
        </is>
      </c>
      <c r="I582" t="inlineStr">
        <is>
          <t>DOWNLOAD</t>
        </is>
      </c>
      <c r="J582" t="n">
        <v>1.50254631</v>
      </c>
      <c r="K582" t="inlineStr">
        <is>
          <t>Unread</t>
        </is>
      </c>
      <c r="L582" s="153" t="n">
        <v>46176.92764111111</v>
      </c>
      <c r="M582" t="inlineStr">
        <is>
          <t>698ccdd78fcbcde218d8ec59</t>
        </is>
      </c>
    </row>
    <row r="583">
      <c r="A583" t="inlineStr">
        <is>
          <t>Project Notos</t>
        </is>
      </c>
      <c r="B583" t="inlineStr">
        <is>
          <t>1.6.3.1.3</t>
        </is>
      </c>
      <c r="C583" s="15" t="inlineStr">
        <is>
          <t>IHE_sub lease agreement RF_250101</t>
        </is>
      </c>
      <c r="D583" s="32" t="inlineStr">
        <is>
          <t>AKR / YBO</t>
        </is>
      </c>
      <c r="F583" s="151">
        <f>HYPERLINK("https://app.global.datasite.com/webviewer/?projectId=696652ec0dc07cc02daa26a0&amp;documentId=69bd217200cd582225becb21","IHE_sub lease agreement RF_250101")</f>
        <v/>
      </c>
      <c r="G583" t="inlineStr">
        <is>
          <t>DOCUMENT</t>
        </is>
      </c>
      <c r="H583" t="inlineStr">
        <is>
          <t>pdf</t>
        </is>
      </c>
      <c r="I583" t="inlineStr">
        <is>
          <t>DOWNLOAD</t>
        </is>
      </c>
      <c r="J583" t="n">
        <v>0.58040428</v>
      </c>
      <c r="K583" t="inlineStr">
        <is>
          <t>Unread</t>
        </is>
      </c>
      <c r="L583" s="153" t="n">
        <v>46176.92764111111</v>
      </c>
      <c r="M583" t="inlineStr">
        <is>
          <t>69bd217200cd582225becb21</t>
        </is>
      </c>
    </row>
    <row r="584">
      <c r="A584" s="149" t="inlineStr">
        <is>
          <t>Project Notos</t>
        </is>
      </c>
      <c r="B584" s="149" t="inlineStr">
        <is>
          <t>1.6.3.2</t>
        </is>
      </c>
      <c r="C584" s="17" t="inlineStr">
        <is>
          <t>Land register</t>
        </is>
      </c>
      <c r="D584" s="25" t="n"/>
      <c r="F584" s="150">
        <f>HYPERLINK("https://app.global.datasite.com/platform/container/696652ec0dc07cc02daa26a0/documents/content/index/69b0427a034d131a33c7efac","Land register")</f>
        <v/>
      </c>
      <c r="G584" s="149" t="inlineStr">
        <is>
          <t>FOLDER</t>
        </is>
      </c>
      <c r="H584" s="149" t="n"/>
      <c r="I584" s="149" t="inlineStr">
        <is>
          <t>DOWNLOAD</t>
        </is>
      </c>
      <c r="J584" s="149" t="n"/>
      <c r="K584" s="149" t="inlineStr">
        <is>
          <t>Unread</t>
        </is>
      </c>
      <c r="L584" s="152" t="n">
        <v>46176.92764111111</v>
      </c>
      <c r="M584" s="149" t="inlineStr">
        <is>
          <t>69b0427a034d131a33c7efac</t>
        </is>
      </c>
    </row>
    <row r="585">
      <c r="A585" t="inlineStr">
        <is>
          <t>Project Notos</t>
        </is>
      </c>
      <c r="B585" t="inlineStr">
        <is>
          <t>1.6.3.2.1</t>
        </is>
      </c>
      <c r="C585" s="15" t="inlineStr">
        <is>
          <t>IM_real estate excerpt (KG 04016, EZ 3987)_20260303</t>
        </is>
      </c>
      <c r="D585" s="32" t="inlineStr">
        <is>
          <t>AKR / YBO</t>
        </is>
      </c>
      <c r="F585" s="151">
        <f>HYPERLINK("https://app.global.datasite.com/webviewer/?projectId=696652ec0dc07cc02daa26a0&amp;documentId=69a717d1dbc47589819e1e43","IM_real estate excerpt (KG 04016, EZ 3987)_20260303")</f>
        <v/>
      </c>
      <c r="G585" t="inlineStr">
        <is>
          <t>DOCUMENT</t>
        </is>
      </c>
      <c r="H585" t="inlineStr">
        <is>
          <t>pdf</t>
        </is>
      </c>
      <c r="I585" t="inlineStr">
        <is>
          <t>DOWNLOAD</t>
        </is>
      </c>
      <c r="J585" t="n">
        <v>0.02005958</v>
      </c>
      <c r="K585" t="inlineStr">
        <is>
          <t>Read</t>
        </is>
      </c>
      <c r="L585" s="153" t="n">
        <v>46176.92764111111</v>
      </c>
      <c r="M585" t="inlineStr">
        <is>
          <t>69a717d1dbc47589819e1e43</t>
        </is>
      </c>
    </row>
    <row r="586">
      <c r="A586" s="149" t="inlineStr">
        <is>
          <t>Project Notos</t>
        </is>
      </c>
      <c r="B586" s="149" t="inlineStr">
        <is>
          <t>1.6.3.3</t>
        </is>
      </c>
      <c r="C586" s="17" t="inlineStr">
        <is>
          <t>Valuation report</t>
        </is>
      </c>
      <c r="D586" s="25" t="n"/>
      <c r="F586" s="150">
        <f>HYPERLINK("https://app.global.datasite.com/platform/container/696652ec0dc07cc02daa26a0/documents/content/index/698cc44ce08904dbb60818c9","Valuation report")</f>
        <v/>
      </c>
      <c r="G586" s="149" t="inlineStr">
        <is>
          <t>FOLDER</t>
        </is>
      </c>
      <c r="H586" s="149" t="n"/>
      <c r="I586" s="149" t="inlineStr">
        <is>
          <t>DOWNLOAD</t>
        </is>
      </c>
      <c r="J586" s="149" t="n"/>
      <c r="K586" s="149" t="inlineStr">
        <is>
          <t>Unread</t>
        </is>
      </c>
      <c r="L586" s="152" t="n">
        <v>46176.92764111111</v>
      </c>
      <c r="M586" s="149" t="inlineStr">
        <is>
          <t>698cc44ce08904dbb60818c9</t>
        </is>
      </c>
    </row>
    <row r="587">
      <c r="A587" t="inlineStr">
        <is>
          <t>Project Notos</t>
        </is>
      </c>
      <c r="B587" t="inlineStr">
        <is>
          <t>1.6.3.3.1</t>
        </is>
      </c>
      <c r="C587" s="15" t="inlineStr">
        <is>
          <t>IM-Valuation Report_Kottingbrunn_250204</t>
        </is>
      </c>
      <c r="D587" s="32" t="inlineStr">
        <is>
          <t>AKR / YBO</t>
        </is>
      </c>
      <c r="F587" s="151">
        <f>HYPERLINK("https://app.global.datasite.com/webviewer/?projectId=696652ec0dc07cc02daa26a0&amp;documentId=698ccca2cd666bb795894be6","IM-Valuation Report_Kottingbrunn_250204")</f>
        <v/>
      </c>
      <c r="G587" t="inlineStr">
        <is>
          <t>DOCUMENT</t>
        </is>
      </c>
      <c r="H587" t="inlineStr">
        <is>
          <t>pdf</t>
        </is>
      </c>
      <c r="I587" t="inlineStr">
        <is>
          <t>DOWNLOAD</t>
        </is>
      </c>
      <c r="J587" t="n">
        <v>4.45780372</v>
      </c>
      <c r="K587" t="inlineStr">
        <is>
          <t>Unread</t>
        </is>
      </c>
      <c r="L587" s="153" t="n">
        <v>46176.92764111111</v>
      </c>
      <c r="M587" t="inlineStr">
        <is>
          <t>698ccca2cd666bb795894be6</t>
        </is>
      </c>
    </row>
    <row r="588">
      <c r="A588" s="149" t="inlineStr">
        <is>
          <t>Project Notos</t>
        </is>
      </c>
      <c r="B588" s="149" t="inlineStr">
        <is>
          <t>1.6.4</t>
        </is>
      </c>
      <c r="C588" s="17" t="inlineStr">
        <is>
          <t>Insurance</t>
        </is>
      </c>
      <c r="D588" s="25" t="n"/>
      <c r="F588" s="150">
        <f>HYPERLINK("https://app.global.datasite.com/platform/container/696652ec0dc07cc02daa26a0/documents/content/index/69bd2386f76be734654d87ed","Insurance")</f>
        <v/>
      </c>
      <c r="G588" s="149" t="inlineStr">
        <is>
          <t>FOLDER</t>
        </is>
      </c>
      <c r="H588" s="149" t="n"/>
      <c r="I588" s="149" t="inlineStr">
        <is>
          <t>DOWNLOAD</t>
        </is>
      </c>
      <c r="J588" s="149" t="n"/>
      <c r="K588" s="149" t="inlineStr">
        <is>
          <t>Unread</t>
        </is>
      </c>
      <c r="L588" s="152" t="n">
        <v>46176.92764111111</v>
      </c>
      <c r="M588" s="149" t="inlineStr">
        <is>
          <t>69bd2386f76be734654d87ed</t>
        </is>
      </c>
    </row>
    <row r="589">
      <c r="A589" t="inlineStr">
        <is>
          <t>Project Notos</t>
        </is>
      </c>
      <c r="B589" t="inlineStr">
        <is>
          <t>1.6.4.1</t>
        </is>
      </c>
      <c r="C589" s="15" t="inlineStr">
        <is>
          <t>IM_insurance HDI_260101</t>
        </is>
      </c>
      <c r="D589" s="30" t="inlineStr">
        <is>
          <t>DAS</t>
        </is>
      </c>
      <c r="F589" s="151">
        <f>HYPERLINK("https://app.global.datasite.com/webviewer/?projectId=696652ec0dc07cc02daa26a0&amp;documentId=69bd239fe2032591068f1c11","IM_insurance HDI_260101")</f>
        <v/>
      </c>
      <c r="G589" t="inlineStr">
        <is>
          <t>DOCUMENT</t>
        </is>
      </c>
      <c r="H589" t="inlineStr">
        <is>
          <t>pdf</t>
        </is>
      </c>
      <c r="I589" t="inlineStr">
        <is>
          <t>DOWNLOAD</t>
        </is>
      </c>
      <c r="J589" t="n">
        <v>0.16478347</v>
      </c>
      <c r="K589" t="inlineStr">
        <is>
          <t>Unread</t>
        </is>
      </c>
      <c r="L589" s="153" t="n">
        <v>46176.92764111111</v>
      </c>
      <c r="M589" t="inlineStr">
        <is>
          <t>69bd239fe2032591068f1c11</t>
        </is>
      </c>
    </row>
    <row r="590">
      <c r="A590" t="inlineStr">
        <is>
          <t>Project Notos</t>
        </is>
      </c>
      <c r="B590" t="inlineStr">
        <is>
          <t>1.6.4.2</t>
        </is>
      </c>
      <c r="C590" s="15" t="inlineStr">
        <is>
          <t>IM_confirmation request insurance erste bank_221201</t>
        </is>
      </c>
      <c r="D590" s="30" t="inlineStr">
        <is>
          <t>DAS</t>
        </is>
      </c>
      <c r="F590" s="151">
        <f>HYPERLINK("https://app.global.datasite.com/webviewer/?projectId=696652ec0dc07cc02daa26a0&amp;documentId=69bd2530f76be734654d8844","IM_confirmation request insurance erste bank_221201")</f>
        <v/>
      </c>
      <c r="G590" t="inlineStr">
        <is>
          <t>DOCUMENT</t>
        </is>
      </c>
      <c r="H590" t="inlineStr">
        <is>
          <t>pdf</t>
        </is>
      </c>
      <c r="I590" t="inlineStr">
        <is>
          <t>DOWNLOAD</t>
        </is>
      </c>
      <c r="J590" t="n">
        <v>0.18629741</v>
      </c>
      <c r="K590" t="inlineStr">
        <is>
          <t>Unread</t>
        </is>
      </c>
      <c r="L590" s="153" t="n">
        <v>46176.92764111111</v>
      </c>
      <c r="M590" t="inlineStr">
        <is>
          <t>69bd2530f76be734654d8844</t>
        </is>
      </c>
    </row>
    <row r="591">
      <c r="A591" t="inlineStr">
        <is>
          <t>Project Notos</t>
        </is>
      </c>
      <c r="B591" t="inlineStr">
        <is>
          <t>1.6.4.3</t>
        </is>
      </c>
      <c r="C591" s="15" t="inlineStr">
        <is>
          <t>IM_blocking certificate insurance erste bank_221201</t>
        </is>
      </c>
      <c r="D591" s="30" t="inlineStr">
        <is>
          <t>DAS</t>
        </is>
      </c>
      <c r="F591" s="151">
        <f>HYPERLINK("https://app.global.datasite.com/webviewer/?projectId=696652ec0dc07cc02daa26a0&amp;documentId=69bd2530f76be734654d8845","IM_blocking certificate insurance erste bank_221201")</f>
        <v/>
      </c>
      <c r="G591" t="inlineStr">
        <is>
          <t>DOCUMENT</t>
        </is>
      </c>
      <c r="H591" t="inlineStr">
        <is>
          <t>pdf</t>
        </is>
      </c>
      <c r="I591" t="inlineStr">
        <is>
          <t>DOWNLOAD</t>
        </is>
      </c>
      <c r="J591" t="n">
        <v>0.23535633</v>
      </c>
      <c r="K591" t="inlineStr">
        <is>
          <t>Unread</t>
        </is>
      </c>
      <c r="L591" s="153" t="n">
        <v>46176.92764111111</v>
      </c>
      <c r="M591" t="inlineStr">
        <is>
          <t>69bd2530f76be734654d8845</t>
        </is>
      </c>
    </row>
    <row r="592">
      <c r="A592" s="149" t="inlineStr">
        <is>
          <t>Project Notos</t>
        </is>
      </c>
      <c r="B592" s="149" t="inlineStr">
        <is>
          <t>1.7</t>
        </is>
      </c>
      <c r="C592" s="17" t="inlineStr">
        <is>
          <t>Fertinger Automotive Polska Sp. Z o.o. (FAP)</t>
        </is>
      </c>
      <c r="D592" s="25" t="n"/>
      <c r="F592" s="150">
        <f>HYPERLINK("https://app.global.datasite.com/platform/container/696652ec0dc07cc02daa26a0/documents/content/index/698cc2fd3613a095ea714018","Fertinger Automotive Polska Sp. Z o.o. (FAP)")</f>
        <v/>
      </c>
      <c r="G592" s="149" t="inlineStr">
        <is>
          <t>FOLDER</t>
        </is>
      </c>
      <c r="H592" s="149" t="n"/>
      <c r="I592" s="149" t="inlineStr">
        <is>
          <t>DOWNLOAD</t>
        </is>
      </c>
      <c r="J592" s="149" t="n"/>
      <c r="K592" s="149" t="inlineStr">
        <is>
          <t>Unread</t>
        </is>
      </c>
      <c r="L592" s="152" t="n">
        <v>46176.92764111111</v>
      </c>
      <c r="M592" s="149" t="inlineStr">
        <is>
          <t>698cc2fd3613a095ea714018</t>
        </is>
      </c>
    </row>
    <row r="593">
      <c r="A593" s="149" t="inlineStr">
        <is>
          <t>Project Notos</t>
        </is>
      </c>
      <c r="B593" s="149" t="inlineStr">
        <is>
          <t>1.7.1</t>
        </is>
      </c>
      <c r="C593" s="17" t="inlineStr">
        <is>
          <t>Corporate</t>
        </is>
      </c>
      <c r="D593" s="25" t="n"/>
      <c r="F593" s="150">
        <f>HYPERLINK("https://app.global.datasite.com/platform/container/696652ec0dc07cc02daa26a0/documents/content/index/69bd5276d52e3d657312ced2","Corporate")</f>
        <v/>
      </c>
      <c r="G593" s="149" t="inlineStr">
        <is>
          <t>FOLDER</t>
        </is>
      </c>
      <c r="H593" s="149" t="n"/>
      <c r="I593" s="149" t="inlineStr">
        <is>
          <t>DOWNLOAD</t>
        </is>
      </c>
      <c r="J593" s="149" t="n"/>
      <c r="K593" s="149" t="inlineStr">
        <is>
          <t>Unread</t>
        </is>
      </c>
      <c r="L593" s="152" t="n">
        <v>46176.92764111111</v>
      </c>
      <c r="M593" s="149" t="inlineStr">
        <is>
          <t>69bd5276d52e3d657312ced2</t>
        </is>
      </c>
    </row>
    <row r="594">
      <c r="A594" s="149" t="inlineStr">
        <is>
          <t>Project Notos</t>
        </is>
      </c>
      <c r="B594" s="149" t="inlineStr">
        <is>
          <t>1.7.1.1</t>
        </is>
      </c>
      <c r="C594" s="17" t="inlineStr">
        <is>
          <t>Company register</t>
        </is>
      </c>
      <c r="D594" s="25" t="n"/>
      <c r="F594" s="150">
        <f>HYPERLINK("https://app.global.datasite.com/platform/container/696652ec0dc07cc02daa26a0/documents/content/index/698cc2fd3613a095ea714019","Company register")</f>
        <v/>
      </c>
      <c r="G594" s="149" t="inlineStr">
        <is>
          <t>FOLDER</t>
        </is>
      </c>
      <c r="H594" s="149" t="n"/>
      <c r="I594" s="149" t="inlineStr">
        <is>
          <t>DOWNLOAD</t>
        </is>
      </c>
      <c r="J594" s="149" t="n"/>
      <c r="K594" s="149" t="inlineStr">
        <is>
          <t>Unread</t>
        </is>
      </c>
      <c r="L594" s="152" t="n">
        <v>46176.92764111111</v>
      </c>
      <c r="M594" s="149" t="inlineStr">
        <is>
          <t>698cc2fd3613a095ea714019</t>
        </is>
      </c>
    </row>
    <row r="595">
      <c r="A595" t="inlineStr">
        <is>
          <t>Project Notos</t>
        </is>
      </c>
      <c r="B595" t="inlineStr">
        <is>
          <t>1.7.1.1.1</t>
        </is>
      </c>
      <c r="C595" s="15" t="inlineStr">
        <is>
          <t>FAP_register excerpt current_20260302</t>
        </is>
      </c>
      <c r="D595" s="20" t="inlineStr">
        <is>
          <t>Out-of-Scope</t>
        </is>
      </c>
      <c r="F595" s="151">
        <f>HYPERLINK("https://app.global.datasite.com/webviewer/?projectId=696652ec0dc07cc02daa26a0&amp;documentId=69a5819d230eb77863f59b6d","FAP_register excerpt current_20260302")</f>
        <v/>
      </c>
      <c r="G595" t="inlineStr">
        <is>
          <t>DOCUMENT</t>
        </is>
      </c>
      <c r="H595" t="inlineStr">
        <is>
          <t>pdf</t>
        </is>
      </c>
      <c r="I595" t="inlineStr">
        <is>
          <t>DOWNLOAD</t>
        </is>
      </c>
      <c r="J595" t="n">
        <v>0.04232501</v>
      </c>
      <c r="K595" t="inlineStr">
        <is>
          <t>Unread</t>
        </is>
      </c>
      <c r="L595" s="153" t="n">
        <v>46176.92764111111</v>
      </c>
      <c r="M595" t="inlineStr">
        <is>
          <t>69a5819d230eb77863f59b6d</t>
        </is>
      </c>
    </row>
    <row r="596">
      <c r="A596" t="inlineStr">
        <is>
          <t>Project Notos</t>
        </is>
      </c>
      <c r="B596" t="inlineStr">
        <is>
          <t>1.7.1.1.2</t>
        </is>
      </c>
      <c r="C596" s="15" t="inlineStr">
        <is>
          <t>FAP_register excerpt full_20260302</t>
        </is>
      </c>
      <c r="D596" s="20" t="inlineStr">
        <is>
          <t>Out-of-Scope</t>
        </is>
      </c>
      <c r="F596" s="151">
        <f>HYPERLINK("https://app.global.datasite.com/webviewer/?projectId=696652ec0dc07cc02daa26a0&amp;documentId=69a581edf64a7be93c32285c","FAP_register excerpt full_20260302")</f>
        <v/>
      </c>
      <c r="G596" t="inlineStr">
        <is>
          <t>DOCUMENT</t>
        </is>
      </c>
      <c r="H596" t="inlineStr">
        <is>
          <t>pdf</t>
        </is>
      </c>
      <c r="I596" t="inlineStr">
        <is>
          <t>DOWNLOAD</t>
        </is>
      </c>
      <c r="J596" t="n">
        <v>0.06348609</v>
      </c>
      <c r="K596" t="inlineStr">
        <is>
          <t>Unread</t>
        </is>
      </c>
      <c r="L596" s="153" t="n">
        <v>46176.92764111111</v>
      </c>
      <c r="M596" t="inlineStr">
        <is>
          <t>69a581edf64a7be93c32285c</t>
        </is>
      </c>
    </row>
    <row r="597">
      <c r="A597" t="inlineStr">
        <is>
          <t>Project Notos</t>
        </is>
      </c>
      <c r="B597" t="inlineStr">
        <is>
          <t>1.7.1.1.3</t>
        </is>
      </c>
      <c r="C597" s="15" t="inlineStr">
        <is>
          <t>FAP_register excerpt current_20260326</t>
        </is>
      </c>
      <c r="D597" s="20" t="inlineStr">
        <is>
          <t>Out-of-Scope</t>
        </is>
      </c>
      <c r="F597" s="151">
        <f>HYPERLINK("https://app.global.datasite.com/webviewer/?projectId=696652ec0dc07cc02daa26a0&amp;documentId=69c688befc19cdb8ee650e44","FAP_register excerpt current_20260326")</f>
        <v/>
      </c>
      <c r="G597" t="inlineStr">
        <is>
          <t>DOCUMENT</t>
        </is>
      </c>
      <c r="H597" t="inlineStr">
        <is>
          <t>pdf</t>
        </is>
      </c>
      <c r="I597" t="inlineStr">
        <is>
          <t>DOWNLOAD</t>
        </is>
      </c>
      <c r="J597" t="n">
        <v>0.04319572</v>
      </c>
      <c r="K597" t="inlineStr">
        <is>
          <t>Unread</t>
        </is>
      </c>
      <c r="L597" s="153" t="n">
        <v>46176.92764111111</v>
      </c>
      <c r="M597" t="inlineStr">
        <is>
          <t>69c688befc19cdb8ee650e44</t>
        </is>
      </c>
    </row>
    <row r="598">
      <c r="A598" t="inlineStr">
        <is>
          <t>Project Notos</t>
        </is>
      </c>
      <c r="B598" t="inlineStr">
        <is>
          <t>1.7.1.1.4</t>
        </is>
      </c>
      <c r="C598" s="15" t="inlineStr">
        <is>
          <t>FAP_register excerpt full_20260326</t>
        </is>
      </c>
      <c r="D598" s="20" t="inlineStr">
        <is>
          <t>Out-of-Scope</t>
        </is>
      </c>
      <c r="F598" s="151">
        <f>HYPERLINK("https://app.global.datasite.com/webviewer/?projectId=696652ec0dc07cc02daa26a0&amp;documentId=69c688befc19cdb8ee650e45","FAP_register excerpt full_20260326")</f>
        <v/>
      </c>
      <c r="G598" t="inlineStr">
        <is>
          <t>DOCUMENT</t>
        </is>
      </c>
      <c r="H598" t="inlineStr">
        <is>
          <t>pdf</t>
        </is>
      </c>
      <c r="I598" t="inlineStr">
        <is>
          <t>DOWNLOAD</t>
        </is>
      </c>
      <c r="J598" t="n">
        <v>0.06413173</v>
      </c>
      <c r="K598" t="inlineStr">
        <is>
          <t>Unread</t>
        </is>
      </c>
      <c r="L598" s="153" t="n">
        <v>46176.92764111111</v>
      </c>
      <c r="M598" t="inlineStr">
        <is>
          <t>69c688befc19cdb8ee650e45</t>
        </is>
      </c>
    </row>
    <row r="599">
      <c r="A599" s="149" t="inlineStr">
        <is>
          <t>Project Notos</t>
        </is>
      </c>
      <c r="B599" s="149" t="inlineStr">
        <is>
          <t>1.7.1.2</t>
        </is>
      </c>
      <c r="C599" s="17" t="inlineStr">
        <is>
          <t>Articles of association</t>
        </is>
      </c>
      <c r="D599" s="25" t="n"/>
      <c r="F599" s="150">
        <f>HYPERLINK("https://app.global.datasite.com/platform/container/696652ec0dc07cc02daa26a0/documents/content/index/698cc2fd3613a095ea71401a","Articles of association")</f>
        <v/>
      </c>
      <c r="G599" s="149" t="inlineStr">
        <is>
          <t>FOLDER</t>
        </is>
      </c>
      <c r="H599" s="149" t="n"/>
      <c r="I599" s="149" t="inlineStr">
        <is>
          <t>DOWNLOAD</t>
        </is>
      </c>
      <c r="J599" s="149" t="n"/>
      <c r="K599" s="149" t="inlineStr">
        <is>
          <t>Unread</t>
        </is>
      </c>
      <c r="L599" s="152" t="n">
        <v>46176.92764111111</v>
      </c>
      <c r="M599" s="149" t="inlineStr">
        <is>
          <t>698cc2fd3613a095ea71401a</t>
        </is>
      </c>
    </row>
    <row r="600">
      <c r="A600" t="inlineStr">
        <is>
          <t>Project Notos</t>
        </is>
      </c>
      <c r="B600" t="inlineStr">
        <is>
          <t>1.7.1.2.1</t>
        </is>
      </c>
      <c r="C600" s="15" t="inlineStr">
        <is>
          <t>FAP_Articles of association_20230523</t>
        </is>
      </c>
      <c r="D600" s="20" t="inlineStr">
        <is>
          <t>Out-of-Scope</t>
        </is>
      </c>
      <c r="F600" s="151">
        <f>HYPERLINK("https://app.global.datasite.com/webviewer/?projectId=696652ec0dc07cc02daa26a0&amp;documentId=69a6fe90cd7eec3d3380b3fc","FAP_Articles of association_20230523")</f>
        <v/>
      </c>
      <c r="G600" t="inlineStr">
        <is>
          <t>DOCUMENT</t>
        </is>
      </c>
      <c r="H600" t="inlineStr">
        <is>
          <t>pdf</t>
        </is>
      </c>
      <c r="I600" t="inlineStr">
        <is>
          <t>DOWNLOAD</t>
        </is>
      </c>
      <c r="J600" t="n">
        <v>0.12547206</v>
      </c>
      <c r="K600" t="inlineStr">
        <is>
          <t>Unread</t>
        </is>
      </c>
      <c r="L600" s="153" t="n">
        <v>46176.92764111111</v>
      </c>
      <c r="M600" t="inlineStr">
        <is>
          <t>69a6fe90cd7eec3d3380b3fc</t>
        </is>
      </c>
    </row>
    <row r="601">
      <c r="A601" t="inlineStr">
        <is>
          <t>Project Notos</t>
        </is>
      </c>
      <c r="B601" t="inlineStr">
        <is>
          <t>1.7.1.2.2</t>
        </is>
      </c>
      <c r="C601" s="15" t="inlineStr">
        <is>
          <t>FAP_Attendance list at the Extraordinary General Meeting of Shareholders of the Company_20230523</t>
        </is>
      </c>
      <c r="D601" s="20" t="inlineStr">
        <is>
          <t>Out-of-Scope</t>
        </is>
      </c>
      <c r="F601" s="151">
        <f>HYPERLINK("https://app.global.datasite.com/webviewer/?projectId=696652ec0dc07cc02daa26a0&amp;documentId=69a6fec4c285afd2509e2a7c","FAP_Attendance list at the Extraordinary General Meeting of Shareholders of the Company_20230523")</f>
        <v/>
      </c>
      <c r="G601" t="inlineStr">
        <is>
          <t>DOCUMENT</t>
        </is>
      </c>
      <c r="H601" t="inlineStr">
        <is>
          <t>pdf</t>
        </is>
      </c>
      <c r="I601" t="inlineStr">
        <is>
          <t>DOWNLOAD</t>
        </is>
      </c>
      <c r="J601" t="n">
        <v>0.02930831</v>
      </c>
      <c r="K601" t="inlineStr">
        <is>
          <t>Unread</t>
        </is>
      </c>
      <c r="L601" s="153" t="n">
        <v>46176.92764111111</v>
      </c>
      <c r="M601" t="inlineStr">
        <is>
          <t>69a6fec4c285afd2509e2a7c</t>
        </is>
      </c>
    </row>
    <row r="602">
      <c r="A602" t="inlineStr">
        <is>
          <t>Project Notos</t>
        </is>
      </c>
      <c r="B602" t="inlineStr">
        <is>
          <t>1.7.1.2.3</t>
        </is>
      </c>
      <c r="C602" s="15" t="inlineStr">
        <is>
          <t>FAP_Articles of association_20230523</t>
        </is>
      </c>
      <c r="D602" s="20" t="inlineStr">
        <is>
          <t>Out-of-Scope</t>
        </is>
      </c>
      <c r="F602" s="151">
        <f>HYPERLINK("https://app.global.datasite.com/webviewer/?projectId=696652ec0dc07cc02daa26a0&amp;documentId=69c68d478bca900354998199","FAP_Articles of association_20230523")</f>
        <v/>
      </c>
      <c r="G602" t="inlineStr">
        <is>
          <t>DOCUMENT</t>
        </is>
      </c>
      <c r="H602" t="inlineStr">
        <is>
          <t>pdf</t>
        </is>
      </c>
      <c r="I602" t="inlineStr">
        <is>
          <t>DOWNLOAD</t>
        </is>
      </c>
      <c r="J602" t="n">
        <v>1.70689392</v>
      </c>
      <c r="K602" t="inlineStr">
        <is>
          <t>Unread</t>
        </is>
      </c>
      <c r="L602" s="153" t="n">
        <v>46176.92764111111</v>
      </c>
      <c r="M602" t="inlineStr">
        <is>
          <t>69c68d478bca900354998199</t>
        </is>
      </c>
    </row>
    <row r="603">
      <c r="A603" t="inlineStr">
        <is>
          <t>Project Notos</t>
        </is>
      </c>
      <c r="B603" t="inlineStr">
        <is>
          <t>1.7.1.2.4</t>
        </is>
      </c>
      <c r="C603" s="15" t="inlineStr">
        <is>
          <t>FAP_articles of association_20151002</t>
        </is>
      </c>
      <c r="D603" s="20" t="inlineStr">
        <is>
          <t>Out-of-Scope</t>
        </is>
      </c>
      <c r="F603" s="151">
        <f>HYPERLINK("https://app.global.datasite.com/webviewer/?projectId=696652ec0dc07cc02daa26a0&amp;documentId=69c68d478bca90035499819a","FAP_articles of association_20151002")</f>
        <v/>
      </c>
      <c r="G603" t="inlineStr">
        <is>
          <t>DOCUMENT</t>
        </is>
      </c>
      <c r="H603" t="inlineStr">
        <is>
          <t>pdf</t>
        </is>
      </c>
      <c r="I603" t="inlineStr">
        <is>
          <t>DOWNLOAD</t>
        </is>
      </c>
      <c r="J603" t="n">
        <v>3.32802963</v>
      </c>
      <c r="K603" t="inlineStr">
        <is>
          <t>Unread</t>
        </is>
      </c>
      <c r="L603" s="153" t="n">
        <v>46176.92764111111</v>
      </c>
      <c r="M603" t="inlineStr">
        <is>
          <t>69c68d478bca90035499819a</t>
        </is>
      </c>
    </row>
    <row r="604">
      <c r="A604" t="inlineStr">
        <is>
          <t>Project Notos</t>
        </is>
      </c>
      <c r="B604" t="inlineStr">
        <is>
          <t>1.7.1.2.5</t>
        </is>
      </c>
      <c r="C604" s="15" t="inlineStr">
        <is>
          <t>FAP_application to the registry court_20151005</t>
        </is>
      </c>
      <c r="D604" s="20" t="inlineStr">
        <is>
          <t>Out-of-Scope</t>
        </is>
      </c>
      <c r="F604" s="151">
        <f>HYPERLINK("https://app.global.datasite.com/webviewer/?projectId=696652ec0dc07cc02daa26a0&amp;documentId=69c68d478bca90035499819b","FAP_application to the registry court_20151005")</f>
        <v/>
      </c>
      <c r="G604" t="inlineStr">
        <is>
          <t>DOCUMENT</t>
        </is>
      </c>
      <c r="H604" t="inlineStr">
        <is>
          <t>pdf</t>
        </is>
      </c>
      <c r="I604" t="inlineStr">
        <is>
          <t>DOWNLOAD</t>
        </is>
      </c>
      <c r="J604" t="n">
        <v>2.01275157</v>
      </c>
      <c r="K604" t="inlineStr">
        <is>
          <t>Unread</t>
        </is>
      </c>
      <c r="L604" s="153" t="n">
        <v>46176.92764111111</v>
      </c>
      <c r="M604" t="inlineStr">
        <is>
          <t>69c68d478bca90035499819b</t>
        </is>
      </c>
    </row>
    <row r="605">
      <c r="A605" t="inlineStr">
        <is>
          <t>Project Notos</t>
        </is>
      </c>
      <c r="B605" t="inlineStr">
        <is>
          <t>1.7.1.2.6</t>
        </is>
      </c>
      <c r="C605" s="15" t="inlineStr">
        <is>
          <t>FAP_resolution on opening the liquidation process_20250901</t>
        </is>
      </c>
      <c r="D605" s="20" t="inlineStr">
        <is>
          <t>Out-of-Scope</t>
        </is>
      </c>
      <c r="F605" s="151">
        <f>HYPERLINK("https://app.global.datasite.com/webviewer/?projectId=696652ec0dc07cc02daa26a0&amp;documentId=69c68d478bca90035499819c","FAP_resolution on opening the liquidation process_20250901")</f>
        <v/>
      </c>
      <c r="G605" t="inlineStr">
        <is>
          <t>DOCUMENT</t>
        </is>
      </c>
      <c r="H605" t="inlineStr">
        <is>
          <t>pdf</t>
        </is>
      </c>
      <c r="I605" t="inlineStr">
        <is>
          <t>DOWNLOAD</t>
        </is>
      </c>
      <c r="J605" t="n">
        <v>1.81394481</v>
      </c>
      <c r="K605" t="inlineStr">
        <is>
          <t>Unread</t>
        </is>
      </c>
      <c r="L605" s="153" t="n">
        <v>46176.92764111111</v>
      </c>
      <c r="M605" t="inlineStr">
        <is>
          <t>69c68d478bca90035499819c</t>
        </is>
      </c>
    </row>
    <row r="606">
      <c r="A606" s="149" t="inlineStr">
        <is>
          <t>Project Notos</t>
        </is>
      </c>
      <c r="B606" s="149" t="inlineStr">
        <is>
          <t>1.7.1.3</t>
        </is>
      </c>
      <c r="C606" s="17" t="inlineStr">
        <is>
          <t>Shareholder resolutions</t>
        </is>
      </c>
      <c r="D606" s="25" t="n"/>
      <c r="F606" s="150">
        <f>HYPERLINK("https://app.global.datasite.com/platform/container/696652ec0dc07cc02daa26a0/documents/content/index/698cc2fd3613a095ea71401b","Shareholder resolutions")</f>
        <v/>
      </c>
      <c r="G606" s="149" t="inlineStr">
        <is>
          <t>FOLDER</t>
        </is>
      </c>
      <c r="H606" s="149" t="n"/>
      <c r="I606" s="149" t="inlineStr">
        <is>
          <t>DOWNLOAD</t>
        </is>
      </c>
      <c r="J606" s="149" t="n"/>
      <c r="K606" s="149" t="inlineStr">
        <is>
          <t>Unread</t>
        </is>
      </c>
      <c r="L606" s="152" t="n">
        <v>46176.92764111111</v>
      </c>
      <c r="M606" s="149" t="inlineStr">
        <is>
          <t>698cc2fd3613a095ea71401b</t>
        </is>
      </c>
    </row>
    <row r="607">
      <c r="A607" t="inlineStr">
        <is>
          <t>Project Notos</t>
        </is>
      </c>
      <c r="B607" t="inlineStr">
        <is>
          <t>1.7.1.3.1</t>
        </is>
      </c>
      <c r="C607" s="15" t="inlineStr">
        <is>
          <t>FAP_Resolution of the Shareholders’ Meeting on the increase of the Company’s share capital_20211220</t>
        </is>
      </c>
      <c r="D607" s="20" t="inlineStr">
        <is>
          <t>Out-of-Scope</t>
        </is>
      </c>
      <c r="F607" s="151">
        <f>HYPERLINK("https://app.global.datasite.com/webviewer/?projectId=696652ec0dc07cc02daa26a0&amp;documentId=69a71337caf6fb585c22989c","FAP_Resolution of the Shareholders’ Meeting on the increase of the Company’s share capital_20211220")</f>
        <v/>
      </c>
      <c r="G607" t="inlineStr">
        <is>
          <t>DOCUMENT</t>
        </is>
      </c>
      <c r="H607" t="inlineStr">
        <is>
          <t>pdf</t>
        </is>
      </c>
      <c r="I607" t="inlineStr">
        <is>
          <t>DOWNLOAD</t>
        </is>
      </c>
      <c r="J607" t="n">
        <v>2.34929943</v>
      </c>
      <c r="K607" t="inlineStr">
        <is>
          <t>Unread</t>
        </is>
      </c>
      <c r="L607" s="153" t="n">
        <v>46176.92764111111</v>
      </c>
      <c r="M607" t="inlineStr">
        <is>
          <t>69a71337caf6fb585c22989c</t>
        </is>
      </c>
    </row>
    <row r="608">
      <c r="A608" t="inlineStr">
        <is>
          <t>Project Notos</t>
        </is>
      </c>
      <c r="B608" t="inlineStr">
        <is>
          <t>1.7.1.3.2</t>
        </is>
      </c>
      <c r="C608" s="15" t="inlineStr">
        <is>
          <t>FAP_Statement of the sole shareholder on the acquisition of shares in the increased share capital_20211220</t>
        </is>
      </c>
      <c r="D608" s="20" t="inlineStr">
        <is>
          <t>Out-of-Scope</t>
        </is>
      </c>
      <c r="F608" s="151">
        <f>HYPERLINK("https://app.global.datasite.com/webviewer/?projectId=696652ec0dc07cc02daa26a0&amp;documentId=69a71360cd7eec3d3380bb16","FAP_Statement of the sole shareholder on the acquisition of shares in the increased share capital_20211220")</f>
        <v/>
      </c>
      <c r="G608" t="inlineStr">
        <is>
          <t>DOCUMENT</t>
        </is>
      </c>
      <c r="H608" t="inlineStr">
        <is>
          <t>pdf</t>
        </is>
      </c>
      <c r="I608" t="inlineStr">
        <is>
          <t>DOWNLOAD</t>
        </is>
      </c>
      <c r="J608" t="n">
        <v>0.21340179</v>
      </c>
      <c r="K608" t="inlineStr">
        <is>
          <t>Unread</t>
        </is>
      </c>
      <c r="L608" s="153" t="n">
        <v>46176.92764111111</v>
      </c>
      <c r="M608" t="inlineStr">
        <is>
          <t>69a71360cd7eec3d3380bb16</t>
        </is>
      </c>
    </row>
    <row r="609">
      <c r="A609" t="inlineStr">
        <is>
          <t>Project Notos</t>
        </is>
      </c>
      <c r="B609" t="inlineStr">
        <is>
          <t>1.7.1.3.3</t>
        </is>
      </c>
      <c r="C609" s="15" t="inlineStr">
        <is>
          <t>FAP_Statement of the Management Board on the Full Payment of Contributions to the Increased Share Capital_20211222</t>
        </is>
      </c>
      <c r="D609" s="20" t="inlineStr">
        <is>
          <t>Out-of-Scope</t>
        </is>
      </c>
      <c r="F609" s="151">
        <f>HYPERLINK("https://app.global.datasite.com/webviewer/?projectId=696652ec0dc07cc02daa26a0&amp;documentId=69a71372dbc47589819e1ca2","FAP_Statement of the Management Board on the Full Payment of Contributions to the Increased Share Capital_20211222")</f>
        <v/>
      </c>
      <c r="G609" t="inlineStr">
        <is>
          <t>DOCUMENT</t>
        </is>
      </c>
      <c r="H609" t="inlineStr">
        <is>
          <t>pdf</t>
        </is>
      </c>
      <c r="I609" t="inlineStr">
        <is>
          <t>DOWNLOAD</t>
        </is>
      </c>
      <c r="J609" t="n">
        <v>0.21712398</v>
      </c>
      <c r="K609" t="inlineStr">
        <is>
          <t>Unread</t>
        </is>
      </c>
      <c r="L609" s="153" t="n">
        <v>46176.92764111111</v>
      </c>
      <c r="M609" t="inlineStr">
        <is>
          <t>69a71372dbc47589819e1ca2</t>
        </is>
      </c>
    </row>
    <row r="610">
      <c r="A610" t="inlineStr">
        <is>
          <t>Project Notos</t>
        </is>
      </c>
      <c r="B610" t="inlineStr">
        <is>
          <t>1.7.1.3.4</t>
        </is>
      </c>
      <c r="C610" s="15" t="inlineStr">
        <is>
          <t>FAP_Resolution of the Shareholders’ Meeting on the increase of the Company’s share capital_20230605</t>
        </is>
      </c>
      <c r="D610" s="20" t="inlineStr">
        <is>
          <t>Out-of-Scope</t>
        </is>
      </c>
      <c r="F610" s="151">
        <f>HYPERLINK("https://app.global.datasite.com/webviewer/?projectId=696652ec0dc07cc02daa26a0&amp;documentId=69a71385dbc47589819e1ca8","FAP_Resolution of the Shareholders’ Meeting on the increase of the Company’s share capital_20230605")</f>
        <v/>
      </c>
      <c r="G610" t="inlineStr">
        <is>
          <t>DOCUMENT</t>
        </is>
      </c>
      <c r="H610" t="inlineStr">
        <is>
          <t>pdf</t>
        </is>
      </c>
      <c r="I610" t="inlineStr">
        <is>
          <t>DOWNLOAD</t>
        </is>
      </c>
      <c r="J610" t="n">
        <v>0.6258955</v>
      </c>
      <c r="K610" t="inlineStr">
        <is>
          <t>Unread</t>
        </is>
      </c>
      <c r="L610" s="153" t="n">
        <v>46176.92764111111</v>
      </c>
      <c r="M610" t="inlineStr">
        <is>
          <t>69a71385dbc47589819e1ca8</t>
        </is>
      </c>
    </row>
    <row r="611">
      <c r="A611" t="inlineStr">
        <is>
          <t>Project Notos</t>
        </is>
      </c>
      <c r="B611" t="inlineStr">
        <is>
          <t>1.7.1.3.5</t>
        </is>
      </c>
      <c r="C611" s="15" t="inlineStr">
        <is>
          <t>FAP_List of Shareholders_20230607</t>
        </is>
      </c>
      <c r="D611" s="20" t="inlineStr">
        <is>
          <t>Out-of-Scope</t>
        </is>
      </c>
      <c r="F611" s="151">
        <f>HYPERLINK("https://app.global.datasite.com/webviewer/?projectId=696652ec0dc07cc02daa26a0&amp;documentId=69a6ff74379ca3341b57e0f9","FAP_List of Shareholders_20230607")</f>
        <v/>
      </c>
      <c r="G611" t="inlineStr">
        <is>
          <t>DOCUMENT</t>
        </is>
      </c>
      <c r="H611" t="inlineStr">
        <is>
          <t>pdf</t>
        </is>
      </c>
      <c r="I611" t="inlineStr">
        <is>
          <t>DOWNLOAD</t>
        </is>
      </c>
      <c r="J611" t="n">
        <v>0.24677658</v>
      </c>
      <c r="K611" t="inlineStr">
        <is>
          <t>Unread</t>
        </is>
      </c>
      <c r="L611" s="153" t="n">
        <v>46176.92764111111</v>
      </c>
      <c r="M611" t="inlineStr">
        <is>
          <t>69a6ff74379ca3341b57e0f9</t>
        </is>
      </c>
    </row>
    <row r="612">
      <c r="A612" t="inlineStr">
        <is>
          <t>Project Notos</t>
        </is>
      </c>
      <c r="B612" t="inlineStr">
        <is>
          <t>1.7.1.3.6</t>
        </is>
      </c>
      <c r="C612" s="15" t="inlineStr">
        <is>
          <t>FAP_Statement of the sole shareholder on the acquisition of shares in the increased share capital_20230607</t>
        </is>
      </c>
      <c r="D612" s="20" t="inlineStr">
        <is>
          <t>Out-of-Scope</t>
        </is>
      </c>
      <c r="F612" s="151">
        <f>HYPERLINK("https://app.global.datasite.com/webviewer/?projectId=696652ec0dc07cc02daa26a0&amp;documentId=69a71397379ca3341b57ea8f","FAP_Statement of the sole shareholder on the acquisition of shares in the increased share capital_20230607")</f>
        <v/>
      </c>
      <c r="G612" t="inlineStr">
        <is>
          <t>DOCUMENT</t>
        </is>
      </c>
      <c r="H612" t="inlineStr">
        <is>
          <t>pdf</t>
        </is>
      </c>
      <c r="I612" t="inlineStr">
        <is>
          <t>DOWNLOAD</t>
        </is>
      </c>
      <c r="J612" t="n">
        <v>0.20865154</v>
      </c>
      <c r="K612" t="inlineStr">
        <is>
          <t>Unread</t>
        </is>
      </c>
      <c r="L612" s="153" t="n">
        <v>46176.92764111111</v>
      </c>
      <c r="M612" t="inlineStr">
        <is>
          <t>69a71397379ca3341b57ea8f</t>
        </is>
      </c>
    </row>
    <row r="613">
      <c r="A613" t="inlineStr">
        <is>
          <t>Project Notos</t>
        </is>
      </c>
      <c r="B613" t="inlineStr">
        <is>
          <t>1.7.1.3.7</t>
        </is>
      </c>
      <c r="C613" s="15" t="inlineStr">
        <is>
          <t>FAP_Statement of the Management Board on the Full Payment of Contributions to the Increased Share Capital_20230607</t>
        </is>
      </c>
      <c r="D613" s="20" t="inlineStr">
        <is>
          <t>Out-of-Scope</t>
        </is>
      </c>
      <c r="F613" s="151">
        <f>HYPERLINK("https://app.global.datasite.com/webviewer/?projectId=696652ec0dc07cc02daa26a0&amp;documentId=69a713a7230eb77863f7c3d0","FAP_Statement of the Management Board on the Full Payment of Contributions to the Increased Share Capital_20230607")</f>
        <v/>
      </c>
      <c r="G613" t="inlineStr">
        <is>
          <t>DOCUMENT</t>
        </is>
      </c>
      <c r="H613" t="inlineStr">
        <is>
          <t>pdf</t>
        </is>
      </c>
      <c r="I613" t="inlineStr">
        <is>
          <t>DOWNLOAD</t>
        </is>
      </c>
      <c r="J613" t="n">
        <v>0.21125316</v>
      </c>
      <c r="K613" t="inlineStr">
        <is>
          <t>Unread</t>
        </is>
      </c>
      <c r="L613" s="153" t="n">
        <v>46176.92764111111</v>
      </c>
      <c r="M613" t="inlineStr">
        <is>
          <t>69a713a7230eb77863f7c3d0</t>
        </is>
      </c>
    </row>
    <row r="614">
      <c r="A614" t="inlineStr">
        <is>
          <t>Project Notos</t>
        </is>
      </c>
      <c r="B614" t="inlineStr">
        <is>
          <t>1.7.1.3.8</t>
        </is>
      </c>
      <c r="C614" s="15" t="inlineStr">
        <is>
          <t>FAP_Attendance list at the Extraordinary General Meeting of Shareholders of the Company_20250901</t>
        </is>
      </c>
      <c r="D614" s="20" t="inlineStr">
        <is>
          <t>Out-of-Scope</t>
        </is>
      </c>
      <c r="F614" s="151">
        <f>HYPERLINK("https://app.global.datasite.com/webviewer/?projectId=696652ec0dc07cc02daa26a0&amp;documentId=69a6ffda379ca3341b57e116","FAP_Attendance list at the Extraordinary General Meeting of Shareholders of the Company_20250901")</f>
        <v/>
      </c>
      <c r="G614" t="inlineStr">
        <is>
          <t>DOCUMENT</t>
        </is>
      </c>
      <c r="H614" t="inlineStr">
        <is>
          <t>pdf</t>
        </is>
      </c>
      <c r="I614" t="inlineStr">
        <is>
          <t>DOWNLOAD</t>
        </is>
      </c>
      <c r="J614" t="n">
        <v>0.03059864</v>
      </c>
      <c r="K614" t="inlineStr">
        <is>
          <t>Unread</t>
        </is>
      </c>
      <c r="L614" s="153" t="n">
        <v>46176.92764111111</v>
      </c>
      <c r="M614" t="inlineStr">
        <is>
          <t>69a6ffda379ca3341b57e116</t>
        </is>
      </c>
    </row>
    <row r="615">
      <c r="A615" t="inlineStr">
        <is>
          <t>Project Notos</t>
        </is>
      </c>
      <c r="B615" t="inlineStr">
        <is>
          <t>1.7.1.3.9</t>
        </is>
      </c>
      <c r="C615" s="15" t="inlineStr">
        <is>
          <t>FAP_Resolution on the dissolution of the company_20250901</t>
        </is>
      </c>
      <c r="D615" s="20" t="inlineStr">
        <is>
          <t>Out-of-Scope</t>
        </is>
      </c>
      <c r="F615" s="151">
        <f>HYPERLINK("https://app.global.datasite.com/webviewer/?projectId=696652ec0dc07cc02daa26a0&amp;documentId=69a6ffcda806cc1870d0f998","FAP_Resolution on the dissolution of the company_20250901")</f>
        <v/>
      </c>
      <c r="G615" t="inlineStr">
        <is>
          <t>DOCUMENT</t>
        </is>
      </c>
      <c r="H615" t="inlineStr">
        <is>
          <t>pdf</t>
        </is>
      </c>
      <c r="I615" t="inlineStr">
        <is>
          <t>DOWNLOAD</t>
        </is>
      </c>
      <c r="J615" t="n">
        <v>0.10746765</v>
      </c>
      <c r="K615" t="inlineStr">
        <is>
          <t>Unread</t>
        </is>
      </c>
      <c r="L615" s="153" t="n">
        <v>46176.92764111111</v>
      </c>
      <c r="M615" t="inlineStr">
        <is>
          <t>69a6ffcda806cc1870d0f998</t>
        </is>
      </c>
    </row>
    <row r="616">
      <c r="A616" t="inlineStr">
        <is>
          <t>Project Notos</t>
        </is>
      </c>
      <c r="B616" t="inlineStr">
        <is>
          <t>1.7.1.3.10</t>
        </is>
      </c>
      <c r="C616" s="15" t="inlineStr">
        <is>
          <t>FAP_articles of association_20250901</t>
        </is>
      </c>
      <c r="D616" s="20" t="inlineStr">
        <is>
          <t>Out-of-Scope</t>
        </is>
      </c>
      <c r="F616" s="151">
        <f>HYPERLINK("https://app.global.datasite.com/webviewer/?projectId=696652ec0dc07cc02daa26a0&amp;documentId=69c68917d8173ff1179c712f","FAP_articles of association_20250901")</f>
        <v/>
      </c>
      <c r="G616" t="inlineStr">
        <is>
          <t>DOCUMENT</t>
        </is>
      </c>
      <c r="H616" t="inlineStr">
        <is>
          <t>pdf</t>
        </is>
      </c>
      <c r="I616" t="inlineStr">
        <is>
          <t>DOWNLOAD</t>
        </is>
      </c>
      <c r="J616" t="n">
        <v>1.81881904</v>
      </c>
      <c r="K616" t="inlineStr">
        <is>
          <t>Unread</t>
        </is>
      </c>
      <c r="L616" s="153" t="n">
        <v>46176.92764111111</v>
      </c>
      <c r="M616" t="inlineStr">
        <is>
          <t>69c68917d8173ff1179c712f</t>
        </is>
      </c>
    </row>
    <row r="617">
      <c r="A617" t="inlineStr">
        <is>
          <t>Project Notos</t>
        </is>
      </c>
      <c r="B617" t="inlineStr">
        <is>
          <t>1.7.1.3.11</t>
        </is>
      </c>
      <c r="C617" s="15" t="inlineStr">
        <is>
          <t>FAP_extraordinary shareholders meeting_20210928</t>
        </is>
      </c>
      <c r="D617" s="20" t="inlineStr">
        <is>
          <t>Out-of-Scope</t>
        </is>
      </c>
      <c r="F617" s="151">
        <f>HYPERLINK("https://app.global.datasite.com/webviewer/?projectId=696652ec0dc07cc02daa26a0&amp;documentId=69c6899aadc66d4b479a1e6c","FAP_extraordinary shareholders meeting_20210928")</f>
        <v/>
      </c>
      <c r="G617" t="inlineStr">
        <is>
          <t>DOCUMENT</t>
        </is>
      </c>
      <c r="H617" t="inlineStr">
        <is>
          <t>pdf</t>
        </is>
      </c>
      <c r="I617" t="inlineStr">
        <is>
          <t>DOWNLOAD</t>
        </is>
      </c>
      <c r="J617" t="n">
        <v>1.31964302</v>
      </c>
      <c r="K617" t="inlineStr">
        <is>
          <t>Unread</t>
        </is>
      </c>
      <c r="L617" s="153" t="n">
        <v>46176.92764111111</v>
      </c>
      <c r="M617" t="inlineStr">
        <is>
          <t>69c6899aadc66d4b479a1e6c</t>
        </is>
      </c>
    </row>
    <row r="618">
      <c r="A618" t="inlineStr">
        <is>
          <t>Project Notos</t>
        </is>
      </c>
      <c r="B618" t="inlineStr">
        <is>
          <t>1.7.1.3.12</t>
        </is>
      </c>
      <c r="C618" s="15" t="inlineStr">
        <is>
          <t>FAP_extraordinary shareholders meeting_20250901</t>
        </is>
      </c>
      <c r="D618" s="20" t="inlineStr">
        <is>
          <t>Out-of-Scope</t>
        </is>
      </c>
      <c r="F618" s="151">
        <f>HYPERLINK("https://app.global.datasite.com/webviewer/?projectId=696652ec0dc07cc02daa26a0&amp;documentId=69c6899aadc66d4b479a1e6d","FAP_extraordinary shareholders meeting_20250901")</f>
        <v/>
      </c>
      <c r="G618" t="inlineStr">
        <is>
          <t>DOCUMENT</t>
        </is>
      </c>
      <c r="H618" t="inlineStr">
        <is>
          <t>pdf</t>
        </is>
      </c>
      <c r="I618" t="inlineStr">
        <is>
          <t>DOWNLOAD</t>
        </is>
      </c>
      <c r="J618" t="n">
        <v>1.77058792</v>
      </c>
      <c r="K618" t="inlineStr">
        <is>
          <t>Unread</t>
        </is>
      </c>
      <c r="L618" s="153" t="n">
        <v>46176.92764111111</v>
      </c>
      <c r="M618" t="inlineStr">
        <is>
          <t>69c6899aadc66d4b479a1e6d</t>
        </is>
      </c>
    </row>
    <row r="619">
      <c r="A619" t="inlineStr">
        <is>
          <t>Project Notos</t>
        </is>
      </c>
      <c r="B619" t="inlineStr">
        <is>
          <t>1.7.1.3.13</t>
        </is>
      </c>
      <c r="C619" s="15" t="inlineStr">
        <is>
          <t>FAP_extraordinary shareholders meeting_20230523</t>
        </is>
      </c>
      <c r="D619" s="20" t="inlineStr">
        <is>
          <t>Out-of-Scope</t>
        </is>
      </c>
      <c r="F619" s="151">
        <f>HYPERLINK("https://app.global.datasite.com/webviewer/?projectId=696652ec0dc07cc02daa26a0&amp;documentId=69c6899aadc66d4b479a1e6e","FAP_extraordinary shareholders meeting_20230523")</f>
        <v/>
      </c>
      <c r="G619" t="inlineStr">
        <is>
          <t>DOCUMENT</t>
        </is>
      </c>
      <c r="H619" t="inlineStr">
        <is>
          <t>pdf</t>
        </is>
      </c>
      <c r="I619" t="inlineStr">
        <is>
          <t>DOWNLOAD</t>
        </is>
      </c>
      <c r="J619" t="n">
        <v>1.70179367</v>
      </c>
      <c r="K619" t="inlineStr">
        <is>
          <t>Unread</t>
        </is>
      </c>
      <c r="L619" s="153" t="n">
        <v>46176.92764111111</v>
      </c>
      <c r="M619" t="inlineStr">
        <is>
          <t>69c6899aadc66d4b479a1e6e</t>
        </is>
      </c>
    </row>
    <row r="620">
      <c r="A620" t="inlineStr">
        <is>
          <t>Project Notos</t>
        </is>
      </c>
      <c r="B620" t="inlineStr">
        <is>
          <t>1.7.1.3.14</t>
        </is>
      </c>
      <c r="C620" s="15" t="inlineStr">
        <is>
          <t>FAP_ordinary shareholders meeting_20220321</t>
        </is>
      </c>
      <c r="D620" s="20" t="inlineStr">
        <is>
          <t>Out-of-Scope</t>
        </is>
      </c>
      <c r="F620" s="151">
        <f>HYPERLINK("https://app.global.datasite.com/webviewer/?projectId=696652ec0dc07cc02daa26a0&amp;documentId=69c6899aadc66d4b479a1e6f","FAP_ordinary shareholders meeting_20220321")</f>
        <v/>
      </c>
      <c r="G620" t="inlineStr">
        <is>
          <t>DOCUMENT</t>
        </is>
      </c>
      <c r="H620" t="inlineStr">
        <is>
          <t>pdf</t>
        </is>
      </c>
      <c r="I620" t="inlineStr">
        <is>
          <t>DOWNLOAD</t>
        </is>
      </c>
      <c r="J620" t="n">
        <v>0.88635444</v>
      </c>
      <c r="K620" t="inlineStr">
        <is>
          <t>Unread</t>
        </is>
      </c>
      <c r="L620" s="153" t="n">
        <v>46176.92764111111</v>
      </c>
      <c r="M620" t="inlineStr">
        <is>
          <t>69c6899aadc66d4b479a1e6f</t>
        </is>
      </c>
    </row>
    <row r="621">
      <c r="A621" t="inlineStr">
        <is>
          <t>Project Notos</t>
        </is>
      </c>
      <c r="B621" t="inlineStr">
        <is>
          <t>1.7.1.3.15</t>
        </is>
      </c>
      <c r="C621" s="15" t="inlineStr">
        <is>
          <t>FAP_ordinary shareholders meeting_20220321</t>
        </is>
      </c>
      <c r="D621" s="20" t="inlineStr">
        <is>
          <t>Out-of-Scope</t>
        </is>
      </c>
      <c r="F621" s="151">
        <f>HYPERLINK("https://app.global.datasite.com/webviewer/?projectId=696652ec0dc07cc02daa26a0&amp;documentId=69c6899aadc66d4b479a1e70","FAP_ordinary shareholders meeting_20220321")</f>
        <v/>
      </c>
      <c r="G621" t="inlineStr">
        <is>
          <t>DOCUMENT</t>
        </is>
      </c>
      <c r="H621" t="inlineStr">
        <is>
          <t>pdf</t>
        </is>
      </c>
      <c r="I621" t="inlineStr">
        <is>
          <t>DOWNLOAD</t>
        </is>
      </c>
      <c r="J621" t="n">
        <v>0.88717269</v>
      </c>
      <c r="K621" t="inlineStr">
        <is>
          <t>Unread</t>
        </is>
      </c>
      <c r="L621" s="153" t="n">
        <v>46176.92764111111</v>
      </c>
      <c r="M621" t="inlineStr">
        <is>
          <t>69c6899aadc66d4b479a1e70</t>
        </is>
      </c>
    </row>
    <row r="622">
      <c r="A622" t="inlineStr">
        <is>
          <t>Project Notos</t>
        </is>
      </c>
      <c r="B622" t="inlineStr">
        <is>
          <t>1.7.1.3.16</t>
        </is>
      </c>
      <c r="C622" s="15" t="inlineStr">
        <is>
          <t>FAP_ordinary shareholders meeting_20230601</t>
        </is>
      </c>
      <c r="D622" s="20" t="inlineStr">
        <is>
          <t>Out-of-Scope</t>
        </is>
      </c>
      <c r="F622" s="151">
        <f>HYPERLINK("https://app.global.datasite.com/webviewer/?projectId=696652ec0dc07cc02daa26a0&amp;documentId=69c6899aadc66d4b479a1e71","FAP_ordinary shareholders meeting_20230601")</f>
        <v/>
      </c>
      <c r="G622" t="inlineStr">
        <is>
          <t>DOCUMENT</t>
        </is>
      </c>
      <c r="H622" t="inlineStr">
        <is>
          <t>pdf</t>
        </is>
      </c>
      <c r="I622" t="inlineStr">
        <is>
          <t>DOWNLOAD</t>
        </is>
      </c>
      <c r="J622" t="n">
        <v>0.98411655</v>
      </c>
      <c r="K622" t="inlineStr">
        <is>
          <t>Unread</t>
        </is>
      </c>
      <c r="L622" s="153" t="n">
        <v>46176.92764111111</v>
      </c>
      <c r="M622" t="inlineStr">
        <is>
          <t>69c6899aadc66d4b479a1e71</t>
        </is>
      </c>
    </row>
    <row r="623">
      <c r="A623" t="inlineStr">
        <is>
          <t>Project Notos</t>
        </is>
      </c>
      <c r="B623" t="inlineStr">
        <is>
          <t>1.7.1.3.17</t>
        </is>
      </c>
      <c r="C623" s="15" t="inlineStr">
        <is>
          <t>FAP_ordinary shareholders meeting_20250409</t>
        </is>
      </c>
      <c r="D623" s="20" t="inlineStr">
        <is>
          <t>Out-of-Scope</t>
        </is>
      </c>
      <c r="F623" s="151">
        <f>HYPERLINK("https://app.global.datasite.com/webviewer/?projectId=696652ec0dc07cc02daa26a0&amp;documentId=69c6899aadc66d4b479a1e72","FAP_ordinary shareholders meeting_20250409")</f>
        <v/>
      </c>
      <c r="G623" t="inlineStr">
        <is>
          <t>DOCUMENT</t>
        </is>
      </c>
      <c r="H623" t="inlineStr">
        <is>
          <t>pdf</t>
        </is>
      </c>
      <c r="I623" t="inlineStr">
        <is>
          <t>DOWNLOAD</t>
        </is>
      </c>
      <c r="J623" t="n">
        <v>0.99570655</v>
      </c>
      <c r="K623" t="inlineStr">
        <is>
          <t>Unread</t>
        </is>
      </c>
      <c r="L623" s="153" t="n">
        <v>46176.92764111111</v>
      </c>
      <c r="M623" t="inlineStr">
        <is>
          <t>69c6899aadc66d4b479a1e72</t>
        </is>
      </c>
    </row>
    <row r="624">
      <c r="A624" t="inlineStr">
        <is>
          <t>Project Notos</t>
        </is>
      </c>
      <c r="B624" t="inlineStr">
        <is>
          <t>1.7.1.3.18</t>
        </is>
      </c>
      <c r="C624" s="15" t="inlineStr">
        <is>
          <t>FAP_extraordinary shareholders meeting_20230605</t>
        </is>
      </c>
      <c r="D624" s="20" t="inlineStr">
        <is>
          <t>Out-of-Scope</t>
        </is>
      </c>
      <c r="F624" s="151">
        <f>HYPERLINK("https://app.global.datasite.com/webviewer/?projectId=696652ec0dc07cc02daa26a0&amp;documentId=69c6899aadc66d4b479a1e73","FAP_extraordinary shareholders meeting_20230605")</f>
        <v/>
      </c>
      <c r="G624" t="inlineStr">
        <is>
          <t>DOCUMENT</t>
        </is>
      </c>
      <c r="H624" t="inlineStr">
        <is>
          <t>pdf</t>
        </is>
      </c>
      <c r="I624" t="inlineStr">
        <is>
          <t>DOWNLOAD</t>
        </is>
      </c>
      <c r="J624" t="n">
        <v>0.62353515</v>
      </c>
      <c r="K624" t="inlineStr">
        <is>
          <t>Unread</t>
        </is>
      </c>
      <c r="L624" s="153" t="n">
        <v>46176.92764111111</v>
      </c>
      <c r="M624" t="inlineStr">
        <is>
          <t>69c6899aadc66d4b479a1e73</t>
        </is>
      </c>
    </row>
    <row r="625">
      <c r="A625" t="inlineStr">
        <is>
          <t>Project Notos</t>
        </is>
      </c>
      <c r="B625" t="inlineStr">
        <is>
          <t>1.7.1.3.19</t>
        </is>
      </c>
      <c r="C625" s="15" t="inlineStr">
        <is>
          <t>FAP_extraordinary shareholders meeting_20211220</t>
        </is>
      </c>
      <c r="D625" s="20" t="inlineStr">
        <is>
          <t>Out-of-Scope</t>
        </is>
      </c>
      <c r="F625" s="151">
        <f>HYPERLINK("https://app.global.datasite.com/webviewer/?projectId=696652ec0dc07cc02daa26a0&amp;documentId=69c6899aadc66d4b479a1e74","FAP_extraordinary shareholders meeting_20211220")</f>
        <v/>
      </c>
      <c r="G625" t="inlineStr">
        <is>
          <t>DOCUMENT</t>
        </is>
      </c>
      <c r="H625" t="inlineStr">
        <is>
          <t>pdf</t>
        </is>
      </c>
      <c r="I625" t="inlineStr">
        <is>
          <t>DOWNLOAD</t>
        </is>
      </c>
      <c r="J625" t="n">
        <v>2.3441286</v>
      </c>
      <c r="K625" t="inlineStr">
        <is>
          <t>Unread</t>
        </is>
      </c>
      <c r="L625" s="153" t="n">
        <v>46176.92764111111</v>
      </c>
      <c r="M625" t="inlineStr">
        <is>
          <t>69c6899aadc66d4b479a1e74</t>
        </is>
      </c>
    </row>
    <row r="626">
      <c r="A626" t="inlineStr">
        <is>
          <t>Project Notos</t>
        </is>
      </c>
      <c r="B626" t="inlineStr">
        <is>
          <t>1.7.1.3.20</t>
        </is>
      </c>
      <c r="C626" s="15" t="inlineStr">
        <is>
          <t>FAP_extraordinary shareholders meeting_20211209</t>
        </is>
      </c>
      <c r="D626" s="20" t="inlineStr">
        <is>
          <t>Out-of-Scope</t>
        </is>
      </c>
      <c r="F626" s="151">
        <f>HYPERLINK("https://app.global.datasite.com/webviewer/?projectId=696652ec0dc07cc02daa26a0&amp;documentId=69c6899aadc66d4b479a1e75","FAP_extraordinary shareholders meeting_20211209")</f>
        <v/>
      </c>
      <c r="G626" t="inlineStr">
        <is>
          <t>DOCUMENT</t>
        </is>
      </c>
      <c r="H626" t="inlineStr">
        <is>
          <t>pdf</t>
        </is>
      </c>
      <c r="I626" t="inlineStr">
        <is>
          <t>DOWNLOAD</t>
        </is>
      </c>
      <c r="J626" t="n">
        <v>3.3692131</v>
      </c>
      <c r="K626" t="inlineStr">
        <is>
          <t>Unread</t>
        </is>
      </c>
      <c r="L626" s="153" t="n">
        <v>46176.92764111111</v>
      </c>
      <c r="M626" t="inlineStr">
        <is>
          <t>69c6899aadc66d4b479a1e75</t>
        </is>
      </c>
    </row>
    <row r="627">
      <c r="A627" t="inlineStr">
        <is>
          <t>Project Notos</t>
        </is>
      </c>
      <c r="B627" t="inlineStr">
        <is>
          <t>1.7.1.3.21</t>
        </is>
      </c>
      <c r="C627" s="15" t="inlineStr">
        <is>
          <t>FAP_extraordinary shareholders meeting_20211220</t>
        </is>
      </c>
      <c r="D627" s="20" t="inlineStr">
        <is>
          <t>Out-of-Scope</t>
        </is>
      </c>
      <c r="F627" s="151">
        <f>HYPERLINK("https://app.global.datasite.com/webviewer/?projectId=696652ec0dc07cc02daa26a0&amp;documentId=69c6899aadc66d4b479a1e76","FAP_extraordinary shareholders meeting_20211220")</f>
        <v/>
      </c>
      <c r="G627" t="inlineStr">
        <is>
          <t>DOCUMENT</t>
        </is>
      </c>
      <c r="H627" t="inlineStr">
        <is>
          <t>pdf</t>
        </is>
      </c>
      <c r="I627" t="inlineStr">
        <is>
          <t>DOWNLOAD</t>
        </is>
      </c>
      <c r="J627" t="n">
        <v>2.28290748</v>
      </c>
      <c r="K627" t="inlineStr">
        <is>
          <t>Unread</t>
        </is>
      </c>
      <c r="L627" s="153" t="n">
        <v>46176.92764111111</v>
      </c>
      <c r="M627" t="inlineStr">
        <is>
          <t>69c6899aadc66d4b479a1e76</t>
        </is>
      </c>
    </row>
    <row r="628">
      <c r="A628" t="inlineStr">
        <is>
          <t>Project Notos</t>
        </is>
      </c>
      <c r="B628" t="inlineStr">
        <is>
          <t>1.7.1.3.22</t>
        </is>
      </c>
      <c r="C628" s="15" t="inlineStr">
        <is>
          <t>FAP_extraordinary shareholders meeting_20241028</t>
        </is>
      </c>
      <c r="D628" s="20" t="inlineStr">
        <is>
          <t>Out-of-Scope</t>
        </is>
      </c>
      <c r="F628" s="151">
        <f>HYPERLINK("https://app.global.datasite.com/webviewer/?projectId=696652ec0dc07cc02daa26a0&amp;documentId=69c6899aadc66d4b479a1e77","FAP_extraordinary shareholders meeting_20241028")</f>
        <v/>
      </c>
      <c r="G628" t="inlineStr">
        <is>
          <t>DOCUMENT</t>
        </is>
      </c>
      <c r="H628" t="inlineStr">
        <is>
          <t>pdf</t>
        </is>
      </c>
      <c r="I628" t="inlineStr">
        <is>
          <t>DOWNLOAD</t>
        </is>
      </c>
      <c r="J628" t="n">
        <v>0.95538902</v>
      </c>
      <c r="K628" t="inlineStr">
        <is>
          <t>Unread</t>
        </is>
      </c>
      <c r="L628" s="153" t="n">
        <v>46176.92764111111</v>
      </c>
      <c r="M628" t="inlineStr">
        <is>
          <t>69c6899aadc66d4b479a1e77</t>
        </is>
      </c>
    </row>
    <row r="629">
      <c r="A629" t="inlineStr">
        <is>
          <t>Project Notos</t>
        </is>
      </c>
      <c r="B629" t="inlineStr">
        <is>
          <t>1.7.1.3.23</t>
        </is>
      </c>
      <c r="C629" s="15" t="inlineStr">
        <is>
          <t>FAP_ordinary shareholders meeting_20220202</t>
        </is>
      </c>
      <c r="D629" s="20" t="inlineStr">
        <is>
          <t>Out-of-Scope</t>
        </is>
      </c>
      <c r="F629" s="151">
        <f>HYPERLINK("https://app.global.datasite.com/webviewer/?projectId=696652ec0dc07cc02daa26a0&amp;documentId=69c6899aadc66d4b479a1e78","FAP_ordinary shareholders meeting_20220202")</f>
        <v/>
      </c>
      <c r="G629" t="inlineStr">
        <is>
          <t>DOCUMENT</t>
        </is>
      </c>
      <c r="H629" t="inlineStr">
        <is>
          <t>pdf</t>
        </is>
      </c>
      <c r="I629" t="inlineStr">
        <is>
          <t>DOWNLOAD</t>
        </is>
      </c>
      <c r="J629" t="n">
        <v>5.93236637</v>
      </c>
      <c r="K629" t="inlineStr">
        <is>
          <t>Unread</t>
        </is>
      </c>
      <c r="L629" s="153" t="n">
        <v>46176.92764111111</v>
      </c>
      <c r="M629" t="inlineStr">
        <is>
          <t>69c6899aadc66d4b479a1e78</t>
        </is>
      </c>
    </row>
    <row r="630">
      <c r="A630" t="inlineStr">
        <is>
          <t>Project Notos</t>
        </is>
      </c>
      <c r="B630" t="inlineStr">
        <is>
          <t>1.7.1.3.24</t>
        </is>
      </c>
      <c r="C630" s="15" t="inlineStr">
        <is>
          <t>FAP_ordinary shareholders meeting_20220202</t>
        </is>
      </c>
      <c r="D630" s="20" t="inlineStr">
        <is>
          <t>Out-of-Scope</t>
        </is>
      </c>
      <c r="F630" s="151">
        <f>HYPERLINK("https://app.global.datasite.com/webviewer/?projectId=696652ec0dc07cc02daa26a0&amp;documentId=69c6899aadc66d4b479a1e79","FAP_ordinary shareholders meeting_20220202")</f>
        <v/>
      </c>
      <c r="G630" t="inlineStr">
        <is>
          <t>DOCUMENT</t>
        </is>
      </c>
      <c r="H630" t="inlineStr">
        <is>
          <t>pdf</t>
        </is>
      </c>
      <c r="I630" t="inlineStr">
        <is>
          <t>DOWNLOAD</t>
        </is>
      </c>
      <c r="J630" t="n">
        <v>5.9389162</v>
      </c>
      <c r="K630" t="inlineStr">
        <is>
          <t>Unread</t>
        </is>
      </c>
      <c r="L630" s="153" t="n">
        <v>46176.92764111111</v>
      </c>
      <c r="M630" t="inlineStr">
        <is>
          <t>69c6899aadc66d4b479a1e79</t>
        </is>
      </c>
    </row>
    <row r="631">
      <c r="A631" t="inlineStr">
        <is>
          <t>Project Notos</t>
        </is>
      </c>
      <c r="B631" t="inlineStr">
        <is>
          <t>1.7.1.3.25</t>
        </is>
      </c>
      <c r="C631" s="15" t="inlineStr">
        <is>
          <t>FAP_extraordinary shareholders meeting_20211220</t>
        </is>
      </c>
      <c r="D631" s="20" t="inlineStr">
        <is>
          <t>Out-of-Scope</t>
        </is>
      </c>
      <c r="F631" s="151">
        <f>HYPERLINK("https://app.global.datasite.com/webviewer/?projectId=696652ec0dc07cc02daa26a0&amp;documentId=69c68a0d5bd753d43966f4a7","FAP_extraordinary shareholders meeting_20211220")</f>
        <v/>
      </c>
      <c r="G631" t="inlineStr">
        <is>
          <t>DOCUMENT</t>
        </is>
      </c>
      <c r="H631" t="inlineStr">
        <is>
          <t>pdf</t>
        </is>
      </c>
      <c r="I631" t="inlineStr">
        <is>
          <t>DOWNLOAD</t>
        </is>
      </c>
      <c r="J631" t="n">
        <v>2.34789752</v>
      </c>
      <c r="K631" t="inlineStr">
        <is>
          <t>Unread</t>
        </is>
      </c>
      <c r="L631" s="153" t="n">
        <v>46176.92764111111</v>
      </c>
      <c r="M631" t="inlineStr">
        <is>
          <t>69c68a0d5bd753d43966f4a7</t>
        </is>
      </c>
    </row>
    <row r="632">
      <c r="A632" s="149" t="inlineStr">
        <is>
          <t>Project Notos</t>
        </is>
      </c>
      <c r="B632" s="149" t="inlineStr">
        <is>
          <t>1.7.1.4</t>
        </is>
      </c>
      <c r="C632" s="17" t="inlineStr">
        <is>
          <t>Chain of title</t>
        </is>
      </c>
      <c r="D632" s="25" t="n"/>
      <c r="F632" s="150">
        <f>HYPERLINK("https://app.global.datasite.com/platform/container/696652ec0dc07cc02daa26a0/documents/content/index/698cc2fd3613a095ea71401c","Chain of title")</f>
        <v/>
      </c>
      <c r="G632" s="149" t="inlineStr">
        <is>
          <t>FOLDER</t>
        </is>
      </c>
      <c r="H632" s="149" t="n"/>
      <c r="I632" s="149" t="inlineStr">
        <is>
          <t>DOWNLOAD</t>
        </is>
      </c>
      <c r="J632" s="149" t="n"/>
      <c r="K632" s="149" t="inlineStr">
        <is>
          <t>Unread</t>
        </is>
      </c>
      <c r="L632" s="152" t="n">
        <v>46176.92764111111</v>
      </c>
      <c r="M632" s="149" t="inlineStr">
        <is>
          <t>698cc2fd3613a095ea71401c</t>
        </is>
      </c>
    </row>
    <row r="633">
      <c r="A633" t="inlineStr">
        <is>
          <t>Project Notos</t>
        </is>
      </c>
      <c r="B633" t="inlineStr">
        <is>
          <t>1.7.1.4.1</t>
        </is>
      </c>
      <c r="C633" s="15" t="inlineStr">
        <is>
          <t>FAP_list of shareholders_20230607</t>
        </is>
      </c>
      <c r="D633" s="20" t="inlineStr">
        <is>
          <t>Out-of-Scope</t>
        </is>
      </c>
      <c r="F633" s="151">
        <f>HYPERLINK("https://app.global.datasite.com/webviewer/?projectId=696652ec0dc07cc02daa26a0&amp;documentId=69c68ce3adc66d4b479a1fc0","FAP_list of shareholders_20230607")</f>
        <v/>
      </c>
      <c r="G633" t="inlineStr">
        <is>
          <t>DOCUMENT</t>
        </is>
      </c>
      <c r="H633" t="inlineStr">
        <is>
          <t>pdf</t>
        </is>
      </c>
      <c r="I633" t="inlineStr">
        <is>
          <t>DOWNLOAD</t>
        </is>
      </c>
      <c r="J633" t="n">
        <v>0.24680709</v>
      </c>
      <c r="K633" t="inlineStr">
        <is>
          <t>Unread</t>
        </is>
      </c>
      <c r="L633" s="153" t="n">
        <v>46176.92764111111</v>
      </c>
      <c r="M633" t="inlineStr">
        <is>
          <t>69c68ce3adc66d4b479a1fc0</t>
        </is>
      </c>
    </row>
    <row r="634">
      <c r="A634" t="inlineStr">
        <is>
          <t>Project Notos</t>
        </is>
      </c>
      <c r="B634" t="inlineStr">
        <is>
          <t>1.7.1.4.2</t>
        </is>
      </c>
      <c r="C634" s="15" t="inlineStr">
        <is>
          <t>FAP_list of shareholders_20211222</t>
        </is>
      </c>
      <c r="D634" s="20" t="inlineStr">
        <is>
          <t>Out-of-Scope</t>
        </is>
      </c>
      <c r="F634" s="151">
        <f>HYPERLINK("https://app.global.datasite.com/webviewer/?projectId=696652ec0dc07cc02daa26a0&amp;documentId=69c68ce3adc66d4b479a1fc1","FAP_list of shareholders_20211222")</f>
        <v/>
      </c>
      <c r="G634" t="inlineStr">
        <is>
          <t>DOCUMENT</t>
        </is>
      </c>
      <c r="H634" t="inlineStr">
        <is>
          <t>pdf</t>
        </is>
      </c>
      <c r="I634" t="inlineStr">
        <is>
          <t>DOWNLOAD</t>
        </is>
      </c>
      <c r="J634" t="n">
        <v>0.31362152</v>
      </c>
      <c r="K634" t="inlineStr">
        <is>
          <t>Unread</t>
        </is>
      </c>
      <c r="L634" s="153" t="n">
        <v>46176.92764111111</v>
      </c>
      <c r="M634" t="inlineStr">
        <is>
          <t>69c68ce3adc66d4b479a1fc1</t>
        </is>
      </c>
    </row>
    <row r="635">
      <c r="A635" t="inlineStr">
        <is>
          <t>Project Notos</t>
        </is>
      </c>
      <c r="B635" t="inlineStr">
        <is>
          <t>1.7.1.4.3</t>
        </is>
      </c>
      <c r="C635" s="15" t="inlineStr">
        <is>
          <t>FAP_details of the sole shareholder_20211222</t>
        </is>
      </c>
      <c r="D635" s="20" t="inlineStr">
        <is>
          <t>Out-of-Scope</t>
        </is>
      </c>
      <c r="F635" s="151">
        <f>HYPERLINK("https://app.global.datasite.com/webviewer/?projectId=696652ec0dc07cc02daa26a0&amp;documentId=69c68a0d5bd753d43966f4a2","FAP_details of the sole shareholder_20211222")</f>
        <v/>
      </c>
      <c r="G635" t="inlineStr">
        <is>
          <t>DOCUMENT</t>
        </is>
      </c>
      <c r="H635" t="inlineStr">
        <is>
          <t>pdf</t>
        </is>
      </c>
      <c r="I635" t="inlineStr">
        <is>
          <t>DOWNLOAD</t>
        </is>
      </c>
      <c r="J635" t="n">
        <v>0.24931049</v>
      </c>
      <c r="K635" t="inlineStr">
        <is>
          <t>Unread</t>
        </is>
      </c>
      <c r="L635" s="153" t="n">
        <v>46176.92764111111</v>
      </c>
      <c r="M635" t="inlineStr">
        <is>
          <t>69c68a0d5bd753d43966f4a2</t>
        </is>
      </c>
    </row>
    <row r="636">
      <c r="A636" t="inlineStr">
        <is>
          <t>Project Notos</t>
        </is>
      </c>
      <c r="B636" t="inlineStr">
        <is>
          <t>1.7.1.4.4</t>
        </is>
      </c>
      <c r="C636" s="15" t="inlineStr">
        <is>
          <t>FAP_list of shareholders_20211222</t>
        </is>
      </c>
      <c r="D636" s="20" t="inlineStr">
        <is>
          <t>Out-of-Scope</t>
        </is>
      </c>
      <c r="F636" s="151">
        <f>HYPERLINK("https://app.global.datasite.com/webviewer/?projectId=696652ec0dc07cc02daa26a0&amp;documentId=69c68a0d5bd753d43966f4a3","FAP_list of shareholders_20211222")</f>
        <v/>
      </c>
      <c r="G636" t="inlineStr">
        <is>
          <t>DOCUMENT</t>
        </is>
      </c>
      <c r="H636" t="inlineStr">
        <is>
          <t>pdf</t>
        </is>
      </c>
      <c r="I636" t="inlineStr">
        <is>
          <t>DOWNLOAD</t>
        </is>
      </c>
      <c r="J636" t="n">
        <v>0.31362152</v>
      </c>
      <c r="K636" t="inlineStr">
        <is>
          <t>Unread</t>
        </is>
      </c>
      <c r="L636" s="153" t="n">
        <v>46176.92764111111</v>
      </c>
      <c r="M636" t="inlineStr">
        <is>
          <t>69c68a0d5bd753d43966f4a3</t>
        </is>
      </c>
    </row>
    <row r="637">
      <c r="A637" s="149" t="inlineStr">
        <is>
          <t>Project Notos</t>
        </is>
      </c>
      <c r="B637" s="149" t="inlineStr">
        <is>
          <t>1.7.1.5</t>
        </is>
      </c>
      <c r="C637" s="17" t="inlineStr">
        <is>
          <t>Miscellaneous</t>
        </is>
      </c>
      <c r="D637" s="25" t="n"/>
      <c r="F637" s="150">
        <f>HYPERLINK("https://app.global.datasite.com/platform/container/696652ec0dc07cc02daa26a0/documents/content/index/69a6f193cd7eec3d3380abdc","Miscellaneous")</f>
        <v/>
      </c>
      <c r="G637" s="149" t="inlineStr">
        <is>
          <t>FOLDER</t>
        </is>
      </c>
      <c r="H637" s="149" t="n"/>
      <c r="I637" s="149" t="inlineStr">
        <is>
          <t>DOWNLOAD</t>
        </is>
      </c>
      <c r="J637" s="149" t="n"/>
      <c r="K637" s="149" t="inlineStr">
        <is>
          <t>Unread</t>
        </is>
      </c>
      <c r="L637" s="152" t="n">
        <v>46176.92764111111</v>
      </c>
      <c r="M637" s="149" t="inlineStr">
        <is>
          <t>69a6f193cd7eec3d3380abdc</t>
        </is>
      </c>
    </row>
    <row r="638">
      <c r="A638" t="inlineStr">
        <is>
          <t>Project Notos</t>
        </is>
      </c>
      <c r="B638" t="inlineStr">
        <is>
          <t>1.7.1.5.1</t>
        </is>
      </c>
      <c r="C638" s="15" t="inlineStr">
        <is>
          <t>FAP_Extract of an entity from the Central Register of Beneficial Owners_20260302</t>
        </is>
      </c>
      <c r="D638" s="20" t="inlineStr">
        <is>
          <t>Out-of-Scope</t>
        </is>
      </c>
      <c r="F638" s="151">
        <f>HYPERLINK("https://app.global.datasite.com/webviewer/?projectId=696652ec0dc07cc02daa26a0&amp;documentId=69a6ff3326527aeba6ff0522","FAP_Extract of an entity from the Central Register of Beneficial Owners_20260302")</f>
        <v/>
      </c>
      <c r="G638" t="inlineStr">
        <is>
          <t>DOCUMENT</t>
        </is>
      </c>
      <c r="H638" t="inlineStr">
        <is>
          <t>pdf</t>
        </is>
      </c>
      <c r="I638" t="inlineStr">
        <is>
          <t>DOWNLOAD</t>
        </is>
      </c>
      <c r="J638" t="n">
        <v>0.07550907</v>
      </c>
      <c r="K638" t="inlineStr">
        <is>
          <t>Unread</t>
        </is>
      </c>
      <c r="L638" s="153" t="n">
        <v>46176.92764111111</v>
      </c>
      <c r="M638" t="inlineStr">
        <is>
          <t>69a6ff3326527aeba6ff0522</t>
        </is>
      </c>
    </row>
    <row r="639">
      <c r="A639" t="inlineStr">
        <is>
          <t>Project Notos</t>
        </is>
      </c>
      <c r="B639" t="inlineStr">
        <is>
          <t>1.7.1.5.2</t>
        </is>
      </c>
      <c r="C639" s="15" t="inlineStr">
        <is>
          <t>FAP_register excerpt full_0000874217 (2)</t>
        </is>
      </c>
      <c r="D639" s="20" t="inlineStr">
        <is>
          <t>Out-of-Scope</t>
        </is>
      </c>
      <c r="F639" s="151">
        <f>HYPERLINK("https://app.global.datasite.com/webviewer/?projectId=696652ec0dc07cc02daa26a0&amp;documentId=69bd439c139d20db65baf8ec","FAP_register excerpt full_0000874217 (2)")</f>
        <v/>
      </c>
      <c r="G639" t="inlineStr">
        <is>
          <t>DOCUMENT</t>
        </is>
      </c>
      <c r="H639" t="inlineStr">
        <is>
          <t>pdf</t>
        </is>
      </c>
      <c r="I639" t="inlineStr">
        <is>
          <t>DOWNLOAD</t>
        </is>
      </c>
      <c r="J639" t="n">
        <v>0.05699634</v>
      </c>
      <c r="K639" t="inlineStr">
        <is>
          <t>Unread</t>
        </is>
      </c>
      <c r="L639" s="153" t="n">
        <v>46176.92764111111</v>
      </c>
      <c r="M639" t="inlineStr">
        <is>
          <t>69bd439c139d20db65baf8ec</t>
        </is>
      </c>
    </row>
    <row r="640">
      <c r="A640" t="inlineStr">
        <is>
          <t>Project Notos</t>
        </is>
      </c>
      <c r="B640" t="inlineStr">
        <is>
          <t>1.7.1.5.3</t>
        </is>
      </c>
      <c r="C640" s="15" t="inlineStr">
        <is>
          <t>FAP_statement on subscription of shares_20211220</t>
        </is>
      </c>
      <c r="D640" s="20" t="inlineStr">
        <is>
          <t>Out-of-Scope</t>
        </is>
      </c>
      <c r="F640" s="151">
        <f>HYPERLINK("https://app.global.datasite.com/webviewer/?projectId=696652ec0dc07cc02daa26a0&amp;documentId=69c68a0d5bd753d43966f4a4","FAP_statement on subscription of shares_20211220")</f>
        <v/>
      </c>
      <c r="G640" t="inlineStr">
        <is>
          <t>DOCUMENT</t>
        </is>
      </c>
      <c r="H640" t="inlineStr">
        <is>
          <t>pdf</t>
        </is>
      </c>
      <c r="I640" t="inlineStr">
        <is>
          <t>DOWNLOAD</t>
        </is>
      </c>
      <c r="J640" t="n">
        <v>0.21343612</v>
      </c>
      <c r="K640" t="inlineStr">
        <is>
          <t>Unread</t>
        </is>
      </c>
      <c r="L640" s="153" t="n">
        <v>46176.92764111111</v>
      </c>
      <c r="M640" t="inlineStr">
        <is>
          <t>69c68a0d5bd753d43966f4a4</t>
        </is>
      </c>
    </row>
    <row r="641">
      <c r="A641" t="inlineStr">
        <is>
          <t>Project Notos</t>
        </is>
      </c>
      <c r="B641" t="inlineStr">
        <is>
          <t>1.7.1.5.4</t>
        </is>
      </c>
      <c r="C641" s="15" t="inlineStr">
        <is>
          <t>FAP_management board statements_20211222</t>
        </is>
      </c>
      <c r="D641" s="20" t="inlineStr">
        <is>
          <t>Out-of-Scope</t>
        </is>
      </c>
      <c r="F641" s="151">
        <f>HYPERLINK("https://app.global.datasite.com/webviewer/?projectId=696652ec0dc07cc02daa26a0&amp;documentId=69c68a0d5bd753d43966f4a5","FAP_management board statements_20211222")</f>
        <v/>
      </c>
      <c r="G641" t="inlineStr">
        <is>
          <t>DOCUMENT</t>
        </is>
      </c>
      <c r="H641" t="inlineStr">
        <is>
          <t>pdf</t>
        </is>
      </c>
      <c r="I641" t="inlineStr">
        <is>
          <t>DOWNLOAD</t>
        </is>
      </c>
      <c r="J641" t="n">
        <v>0.2171421</v>
      </c>
      <c r="K641" t="inlineStr">
        <is>
          <t>Unread</t>
        </is>
      </c>
      <c r="L641" s="153" t="n">
        <v>46176.92764111111</v>
      </c>
      <c r="M641" t="inlineStr">
        <is>
          <t>69c68a0d5bd753d43966f4a5</t>
        </is>
      </c>
    </row>
    <row r="642">
      <c r="A642" t="inlineStr">
        <is>
          <t>Project Notos</t>
        </is>
      </c>
      <c r="B642" t="inlineStr">
        <is>
          <t>1.7.1.5.5</t>
        </is>
      </c>
      <c r="C642" s="15" t="inlineStr">
        <is>
          <t>FAP_set-off agreement_20211222</t>
        </is>
      </c>
      <c r="D642" s="20" t="inlineStr">
        <is>
          <t>Out-of-Scope</t>
        </is>
      </c>
      <c r="F642" s="151">
        <f>HYPERLINK("https://app.global.datasite.com/webviewer/?projectId=696652ec0dc07cc02daa26a0&amp;documentId=69c68a0d5bd753d43966f4a6","FAP_set-off agreement_20211222")</f>
        <v/>
      </c>
      <c r="G642" t="inlineStr">
        <is>
          <t>DOCUMENT</t>
        </is>
      </c>
      <c r="H642" t="inlineStr">
        <is>
          <t>pdf</t>
        </is>
      </c>
      <c r="I642" t="inlineStr">
        <is>
          <t>DOWNLOAD</t>
        </is>
      </c>
      <c r="J642" t="n">
        <v>0.37135982</v>
      </c>
      <c r="K642" t="inlineStr">
        <is>
          <t>Unread</t>
        </is>
      </c>
      <c r="L642" s="153" t="n">
        <v>46176.92764111111</v>
      </c>
      <c r="M642" t="inlineStr">
        <is>
          <t>69c68a0d5bd753d43966f4a6</t>
        </is>
      </c>
    </row>
    <row r="643">
      <c r="A643" t="inlineStr">
        <is>
          <t>Project Notos</t>
        </is>
      </c>
      <c r="B643" t="inlineStr">
        <is>
          <t>1.7.1.5.6</t>
        </is>
      </c>
      <c r="C643" s="15" t="inlineStr">
        <is>
          <t>FAP_application to the registry court_20230525</t>
        </is>
      </c>
      <c r="D643" s="20" t="inlineStr">
        <is>
          <t>Out-of-Scope</t>
        </is>
      </c>
      <c r="F643" s="151">
        <f>HYPERLINK("https://app.global.datasite.com/webviewer/?projectId=696652ec0dc07cc02daa26a0&amp;documentId=69c68a0d5bd753d43966f4a8","FAP_application to the registry court_20230525")</f>
        <v/>
      </c>
      <c r="G643" t="inlineStr">
        <is>
          <t>DOCUMENT</t>
        </is>
      </c>
      <c r="H643" t="inlineStr">
        <is>
          <t>pdf</t>
        </is>
      </c>
      <c r="I643" t="inlineStr">
        <is>
          <t>DOWNLOAD</t>
        </is>
      </c>
      <c r="J643" t="n">
        <v>2.61815929</v>
      </c>
      <c r="K643" t="inlineStr">
        <is>
          <t>Unread</t>
        </is>
      </c>
      <c r="L643" s="153" t="n">
        <v>46176.92764111111</v>
      </c>
      <c r="M643" t="inlineStr">
        <is>
          <t>69c68a0d5bd753d43966f4a8</t>
        </is>
      </c>
    </row>
    <row r="644">
      <c r="A644" t="inlineStr">
        <is>
          <t>Project Notos</t>
        </is>
      </c>
      <c r="B644" t="inlineStr">
        <is>
          <t>1.7.1.5.7</t>
        </is>
      </c>
      <c r="C644" s="15" t="inlineStr">
        <is>
          <t>FAP_application to the registry court_20230620</t>
        </is>
      </c>
      <c r="D644" s="20" t="inlineStr">
        <is>
          <t>Out-of-Scope</t>
        </is>
      </c>
      <c r="F644" s="151">
        <f>HYPERLINK("https://app.global.datasite.com/webviewer/?projectId=696652ec0dc07cc02daa26a0&amp;documentId=69c68a0d5bd753d43966f4a9","FAP_application to the registry court_20230620")</f>
        <v/>
      </c>
      <c r="G644" t="inlineStr">
        <is>
          <t>DOCUMENT</t>
        </is>
      </c>
      <c r="H644" t="inlineStr">
        <is>
          <t>pdf</t>
        </is>
      </c>
      <c r="I644" t="inlineStr">
        <is>
          <t>DOWNLOAD</t>
        </is>
      </c>
      <c r="J644" t="n">
        <v>3.47643947</v>
      </c>
      <c r="K644" t="inlineStr">
        <is>
          <t>Unread</t>
        </is>
      </c>
      <c r="L644" s="153" t="n">
        <v>46176.92764111111</v>
      </c>
      <c r="M644" t="inlineStr">
        <is>
          <t>69c68a0d5bd753d43966f4a9</t>
        </is>
      </c>
    </row>
    <row r="645">
      <c r="A645" t="inlineStr">
        <is>
          <t>Project Notos</t>
        </is>
      </c>
      <c r="B645" t="inlineStr">
        <is>
          <t>1.7.1.5.8</t>
        </is>
      </c>
      <c r="C645" s="15" t="inlineStr">
        <is>
          <t>FAP_PoA_20191120</t>
        </is>
      </c>
      <c r="D645" s="20" t="inlineStr">
        <is>
          <t>Out-of-Scope</t>
        </is>
      </c>
      <c r="F645" s="151">
        <f>HYPERLINK("https://app.global.datasite.com/webviewer/?projectId=696652ec0dc07cc02daa26a0&amp;documentId=69c68fddd71dfed7bae76fc1","FAP_PoA_20191120")</f>
        <v/>
      </c>
      <c r="G645" t="inlineStr">
        <is>
          <t>DOCUMENT</t>
        </is>
      </c>
      <c r="H645" t="inlineStr">
        <is>
          <t>pdf</t>
        </is>
      </c>
      <c r="I645" t="inlineStr">
        <is>
          <t>DOWNLOAD</t>
        </is>
      </c>
      <c r="J645" t="n">
        <v>0.10098934</v>
      </c>
      <c r="K645" t="inlineStr">
        <is>
          <t>Unread</t>
        </is>
      </c>
      <c r="L645" s="153" t="n">
        <v>46176.92764111111</v>
      </c>
      <c r="M645" t="inlineStr">
        <is>
          <t>69c68fddd71dfed7bae76fc1</t>
        </is>
      </c>
    </row>
    <row r="646">
      <c r="A646" t="inlineStr">
        <is>
          <t>Project Notos</t>
        </is>
      </c>
      <c r="B646" t="inlineStr">
        <is>
          <t>1.7.1.5.9</t>
        </is>
      </c>
      <c r="C646" s="15" t="inlineStr">
        <is>
          <t>FAP_PoA_20170315</t>
        </is>
      </c>
      <c r="D646" s="20" t="inlineStr">
        <is>
          <t>Out-of-Scope</t>
        </is>
      </c>
      <c r="F646" s="151">
        <f>HYPERLINK("https://app.global.datasite.com/webviewer/?projectId=696652ec0dc07cc02daa26a0&amp;documentId=69c68fddd71dfed7bae76fc2","FAP_PoA_20170315")</f>
        <v/>
      </c>
      <c r="G646" t="inlineStr">
        <is>
          <t>DOCUMENT</t>
        </is>
      </c>
      <c r="H646" t="inlineStr">
        <is>
          <t>pdf</t>
        </is>
      </c>
      <c r="I646" t="inlineStr">
        <is>
          <t>DOWNLOAD</t>
        </is>
      </c>
      <c r="J646" t="n">
        <v>0.10976791</v>
      </c>
      <c r="K646" t="inlineStr">
        <is>
          <t>Unread</t>
        </is>
      </c>
      <c r="L646" s="153" t="n">
        <v>46176.92764111111</v>
      </c>
      <c r="M646" t="inlineStr">
        <is>
          <t>69c68fddd71dfed7bae76fc2</t>
        </is>
      </c>
    </row>
    <row r="647">
      <c r="A647" t="inlineStr">
        <is>
          <t>Project Notos</t>
        </is>
      </c>
      <c r="B647" t="inlineStr">
        <is>
          <t>1.7.1.5.10</t>
        </is>
      </c>
      <c r="C647" s="15" t="inlineStr">
        <is>
          <t>FAP_PoA_20181009</t>
        </is>
      </c>
      <c r="D647" s="20" t="inlineStr">
        <is>
          <t>Out-of-Scope</t>
        </is>
      </c>
      <c r="F647" s="151">
        <f>HYPERLINK("https://app.global.datasite.com/webviewer/?projectId=696652ec0dc07cc02daa26a0&amp;documentId=69c68fddd71dfed7bae76fc3","FAP_PoA_20181009")</f>
        <v/>
      </c>
      <c r="G647" t="inlineStr">
        <is>
          <t>DOCUMENT</t>
        </is>
      </c>
      <c r="H647" t="inlineStr">
        <is>
          <t>pdf</t>
        </is>
      </c>
      <c r="I647" t="inlineStr">
        <is>
          <t>DOWNLOAD</t>
        </is>
      </c>
      <c r="J647" t="n">
        <v>0.1024332</v>
      </c>
      <c r="K647" t="inlineStr">
        <is>
          <t>Unread</t>
        </is>
      </c>
      <c r="L647" s="153" t="n">
        <v>46176.92764111111</v>
      </c>
      <c r="M647" t="inlineStr">
        <is>
          <t>69c68fddd71dfed7bae76fc3</t>
        </is>
      </c>
    </row>
    <row r="648">
      <c r="A648" t="inlineStr">
        <is>
          <t>Project Notos</t>
        </is>
      </c>
      <c r="B648" t="inlineStr">
        <is>
          <t>1.7.1.5.11</t>
        </is>
      </c>
      <c r="C648" s="15" t="inlineStr">
        <is>
          <t>FAP_PoA_20190709</t>
        </is>
      </c>
      <c r="D648" s="20" t="inlineStr">
        <is>
          <t>Out-of-Scope</t>
        </is>
      </c>
      <c r="F648" s="151">
        <f>HYPERLINK("https://app.global.datasite.com/webviewer/?projectId=696652ec0dc07cc02daa26a0&amp;documentId=69c68fddd71dfed7bae76fc4","FAP_PoA_20190709")</f>
        <v/>
      </c>
      <c r="G648" t="inlineStr">
        <is>
          <t>DOCUMENT</t>
        </is>
      </c>
      <c r="H648" t="inlineStr">
        <is>
          <t>pdf</t>
        </is>
      </c>
      <c r="I648" t="inlineStr">
        <is>
          <t>DOWNLOAD</t>
        </is>
      </c>
      <c r="J648" t="n">
        <v>0.13831138</v>
      </c>
      <c r="K648" t="inlineStr">
        <is>
          <t>Unread</t>
        </is>
      </c>
      <c r="L648" s="153" t="n">
        <v>46176.92764111111</v>
      </c>
      <c r="M648" t="inlineStr">
        <is>
          <t>69c68fddd71dfed7bae76fc4</t>
        </is>
      </c>
    </row>
    <row r="649">
      <c r="A649" t="inlineStr">
        <is>
          <t>Project Notos</t>
        </is>
      </c>
      <c r="B649" t="inlineStr">
        <is>
          <t>1.7.1.5.12</t>
        </is>
      </c>
      <c r="C649" s="15" t="inlineStr">
        <is>
          <t>FAP_PoA_20181009</t>
        </is>
      </c>
      <c r="D649" s="20" t="inlineStr">
        <is>
          <t>Out-of-Scope</t>
        </is>
      </c>
      <c r="F649" s="151">
        <f>HYPERLINK("https://app.global.datasite.com/webviewer/?projectId=696652ec0dc07cc02daa26a0&amp;documentId=69c68fddd71dfed7bae76fc5","FAP_PoA_20181009")</f>
        <v/>
      </c>
      <c r="G649" t="inlineStr">
        <is>
          <t>DOCUMENT</t>
        </is>
      </c>
      <c r="H649" t="inlineStr">
        <is>
          <t>pdf</t>
        </is>
      </c>
      <c r="I649" t="inlineStr">
        <is>
          <t>DOWNLOAD</t>
        </is>
      </c>
      <c r="J649" t="n">
        <v>0.67254066</v>
      </c>
      <c r="K649" t="inlineStr">
        <is>
          <t>Unread</t>
        </is>
      </c>
      <c r="L649" s="153" t="n">
        <v>46176.92764111111</v>
      </c>
      <c r="M649" t="inlineStr">
        <is>
          <t>69c68fddd71dfed7bae76fc5</t>
        </is>
      </c>
    </row>
    <row r="650">
      <c r="A650" t="inlineStr">
        <is>
          <t>Project Notos</t>
        </is>
      </c>
      <c r="B650" t="inlineStr">
        <is>
          <t>1.7.1.5.13</t>
        </is>
      </c>
      <c r="C650" s="15" t="inlineStr">
        <is>
          <t>FAP_PoA_20201203</t>
        </is>
      </c>
      <c r="D650" s="20" t="inlineStr">
        <is>
          <t>Out-of-Scope</t>
        </is>
      </c>
      <c r="F650" s="151">
        <f>HYPERLINK("https://app.global.datasite.com/webviewer/?projectId=696652ec0dc07cc02daa26a0&amp;documentId=69c68fddd71dfed7bae76fc6","FAP_PoA_20201203")</f>
        <v/>
      </c>
      <c r="G650" t="inlineStr">
        <is>
          <t>DOCUMENT</t>
        </is>
      </c>
      <c r="H650" t="inlineStr">
        <is>
          <t>pdf</t>
        </is>
      </c>
      <c r="I650" t="inlineStr">
        <is>
          <t>DOWNLOAD</t>
        </is>
      </c>
      <c r="J650" t="n">
        <v>0.1630907</v>
      </c>
      <c r="K650" t="inlineStr">
        <is>
          <t>Unread</t>
        </is>
      </c>
      <c r="L650" s="153" t="n">
        <v>46176.92764111111</v>
      </c>
      <c r="M650" t="inlineStr">
        <is>
          <t>69c68fddd71dfed7bae76fc6</t>
        </is>
      </c>
    </row>
    <row r="651">
      <c r="A651" t="inlineStr">
        <is>
          <t>Project Notos</t>
        </is>
      </c>
      <c r="B651" t="inlineStr">
        <is>
          <t>1.7.1.5.14</t>
        </is>
      </c>
      <c r="C651" s="15" t="inlineStr">
        <is>
          <t>FAP_PoA_20260825</t>
        </is>
      </c>
      <c r="D651" s="20" t="inlineStr">
        <is>
          <t>Out-of-Scope</t>
        </is>
      </c>
      <c r="F651" s="151">
        <f>HYPERLINK("https://app.global.datasite.com/webviewer/?projectId=696652ec0dc07cc02daa26a0&amp;documentId=69c68fddd71dfed7bae76fc7","FAP_PoA_20260825")</f>
        <v/>
      </c>
      <c r="G651" t="inlineStr">
        <is>
          <t>DOCUMENT</t>
        </is>
      </c>
      <c r="H651" t="inlineStr">
        <is>
          <t>pdf</t>
        </is>
      </c>
      <c r="I651" t="inlineStr">
        <is>
          <t>DOWNLOAD</t>
        </is>
      </c>
      <c r="J651" t="n">
        <v>0.22565841</v>
      </c>
      <c r="K651" t="inlineStr">
        <is>
          <t>Unread</t>
        </is>
      </c>
      <c r="L651" s="153" t="n">
        <v>46176.92764111111</v>
      </c>
      <c r="M651" t="inlineStr">
        <is>
          <t>69c68fddd71dfed7bae76fc7</t>
        </is>
      </c>
    </row>
    <row r="652">
      <c r="A652" t="inlineStr">
        <is>
          <t>Project Notos</t>
        </is>
      </c>
      <c r="B652" t="inlineStr">
        <is>
          <t>1.7.1.5.15</t>
        </is>
      </c>
      <c r="C652" s="15" t="inlineStr">
        <is>
          <t>FAP_PoA_20250616</t>
        </is>
      </c>
      <c r="D652" s="20" t="inlineStr">
        <is>
          <t>Out-of-Scope</t>
        </is>
      </c>
      <c r="F652" s="151">
        <f>HYPERLINK("https://app.global.datasite.com/webviewer/?projectId=696652ec0dc07cc02daa26a0&amp;documentId=69c68fddd71dfed7bae76fc8","FAP_PoA_20250616")</f>
        <v/>
      </c>
      <c r="G652" t="inlineStr">
        <is>
          <t>DOCUMENT</t>
        </is>
      </c>
      <c r="H652" t="inlineStr">
        <is>
          <t>pdf</t>
        </is>
      </c>
      <c r="I652" t="inlineStr">
        <is>
          <t>DOWNLOAD</t>
        </is>
      </c>
      <c r="J652" t="n">
        <v>0.23230171</v>
      </c>
      <c r="K652" t="inlineStr">
        <is>
          <t>Unread</t>
        </is>
      </c>
      <c r="L652" s="153" t="n">
        <v>46176.92764111111</v>
      </c>
      <c r="M652" t="inlineStr">
        <is>
          <t>69c68fddd71dfed7bae76fc8</t>
        </is>
      </c>
    </row>
    <row r="653">
      <c r="A653" t="inlineStr">
        <is>
          <t>Project Notos</t>
        </is>
      </c>
      <c r="B653" t="inlineStr">
        <is>
          <t>1.7.1.5.16</t>
        </is>
      </c>
      <c r="C653" s="15" t="inlineStr">
        <is>
          <t>FAP_PoA_20170623</t>
        </is>
      </c>
      <c r="D653" s="20" t="inlineStr">
        <is>
          <t>Out-of-Scope</t>
        </is>
      </c>
      <c r="F653" s="151">
        <f>HYPERLINK("https://app.global.datasite.com/webviewer/?projectId=696652ec0dc07cc02daa26a0&amp;documentId=69c68fddd71dfed7bae76fc9","FAP_PoA_20170623")</f>
        <v/>
      </c>
      <c r="G653" t="inlineStr">
        <is>
          <t>DOCUMENT</t>
        </is>
      </c>
      <c r="H653" t="inlineStr">
        <is>
          <t>pdf</t>
        </is>
      </c>
      <c r="I653" t="inlineStr">
        <is>
          <t>DOWNLOAD</t>
        </is>
      </c>
      <c r="J653" t="n">
        <v>0.11092758</v>
      </c>
      <c r="K653" t="inlineStr">
        <is>
          <t>Unread</t>
        </is>
      </c>
      <c r="L653" s="153" t="n">
        <v>46176.92764111111</v>
      </c>
      <c r="M653" t="inlineStr">
        <is>
          <t>69c68fddd71dfed7bae76fc9</t>
        </is>
      </c>
    </row>
    <row r="654">
      <c r="A654" t="inlineStr">
        <is>
          <t>Project Notos</t>
        </is>
      </c>
      <c r="B654" t="inlineStr">
        <is>
          <t>1.7.1.5.17</t>
        </is>
      </c>
      <c r="C654" s="15" t="inlineStr">
        <is>
          <t>FAP_PoA_20211217</t>
        </is>
      </c>
      <c r="D654" s="20" t="inlineStr">
        <is>
          <t>Out-of-Scope</t>
        </is>
      </c>
      <c r="F654" s="151">
        <f>HYPERLINK("https://app.global.datasite.com/webviewer/?projectId=696652ec0dc07cc02daa26a0&amp;documentId=69c68fddd71dfed7bae76fca","FAP_PoA_20211217")</f>
        <v/>
      </c>
      <c r="G654" t="inlineStr">
        <is>
          <t>DOCUMENT</t>
        </is>
      </c>
      <c r="H654" t="inlineStr">
        <is>
          <t>pdf</t>
        </is>
      </c>
      <c r="I654" t="inlineStr">
        <is>
          <t>DOWNLOAD</t>
        </is>
      </c>
      <c r="J654" t="n">
        <v>0.12847042</v>
      </c>
      <c r="K654" t="inlineStr">
        <is>
          <t>Unread</t>
        </is>
      </c>
      <c r="L654" s="153" t="n">
        <v>46176.92764111111</v>
      </c>
      <c r="M654" t="inlineStr">
        <is>
          <t>69c68fddd71dfed7bae76fca</t>
        </is>
      </c>
    </row>
    <row r="655">
      <c r="A655" t="inlineStr">
        <is>
          <t>Project Notos</t>
        </is>
      </c>
      <c r="B655" t="inlineStr">
        <is>
          <t>1.7.1.5.18</t>
        </is>
      </c>
      <c r="C655" s="15" t="inlineStr">
        <is>
          <t>FAP_PoA_20230809</t>
        </is>
      </c>
      <c r="D655" s="20" t="inlineStr">
        <is>
          <t>Out-of-Scope</t>
        </is>
      </c>
      <c r="F655" s="151">
        <f>HYPERLINK("https://app.global.datasite.com/webviewer/?projectId=696652ec0dc07cc02daa26a0&amp;documentId=69c68fddd71dfed7bae76fcb","FAP_PoA_20230809")</f>
        <v/>
      </c>
      <c r="G655" t="inlineStr">
        <is>
          <t>DOCUMENT</t>
        </is>
      </c>
      <c r="H655" t="inlineStr">
        <is>
          <t>pdf</t>
        </is>
      </c>
      <c r="I655" t="inlineStr">
        <is>
          <t>DOWNLOAD</t>
        </is>
      </c>
      <c r="J655" t="n">
        <v>0.62421607</v>
      </c>
      <c r="K655" t="inlineStr">
        <is>
          <t>Unread</t>
        </is>
      </c>
      <c r="L655" s="153" t="n">
        <v>46176.92764111111</v>
      </c>
      <c r="M655" t="inlineStr">
        <is>
          <t>69c68fddd71dfed7bae76fcb</t>
        </is>
      </c>
    </row>
    <row r="656">
      <c r="A656" t="inlineStr">
        <is>
          <t>Project Notos</t>
        </is>
      </c>
      <c r="B656" t="inlineStr">
        <is>
          <t>1.7.1.5.19</t>
        </is>
      </c>
      <c r="C656" s="15" t="inlineStr">
        <is>
          <t>FAP_termination agreement_2025-09-15</t>
        </is>
      </c>
      <c r="D656" s="20" t="inlineStr">
        <is>
          <t>Out-of-Scope</t>
        </is>
      </c>
      <c r="F656" s="151">
        <f>HYPERLINK("https://app.global.datasite.com/webviewer/?projectId=696652ec0dc07cc02daa26a0&amp;documentId=69f31d00f93e5f00d66a21a3","FAP_termination agreement_2025-09-15")</f>
        <v/>
      </c>
      <c r="G656" t="inlineStr">
        <is>
          <t>DOCUMENT</t>
        </is>
      </c>
      <c r="H656" t="inlineStr">
        <is>
          <t>docx</t>
        </is>
      </c>
      <c r="I656" t="inlineStr">
        <is>
          <t>DOWNLOAD</t>
        </is>
      </c>
      <c r="J656" t="n">
        <v>0.02157306</v>
      </c>
      <c r="K656" t="inlineStr">
        <is>
          <t>Unread</t>
        </is>
      </c>
      <c r="L656" s="153" t="n">
        <v>46176.92764111111</v>
      </c>
      <c r="M656" t="inlineStr">
        <is>
          <t>69f31d00f93e5f00d66a21a3</t>
        </is>
      </c>
    </row>
    <row r="657">
      <c r="A657" t="inlineStr">
        <is>
          <t>Project Notos</t>
        </is>
      </c>
      <c r="B657" t="inlineStr">
        <is>
          <t>1.7.1.5.20</t>
        </is>
      </c>
      <c r="C657" s="15" t="inlineStr">
        <is>
          <t>FAP_notice of termination_2025-09-15</t>
        </is>
      </c>
      <c r="D657" s="20" t="inlineStr">
        <is>
          <t>Out-of-Scope</t>
        </is>
      </c>
      <c r="F657" s="151">
        <f>HYPERLINK("https://app.global.datasite.com/webviewer/?projectId=696652ec0dc07cc02daa26a0&amp;documentId=69f31d00f93e5f00d66a21a4","FAP_notice of termination_2025-09-15")</f>
        <v/>
      </c>
      <c r="G657" t="inlineStr">
        <is>
          <t>DOCUMENT</t>
        </is>
      </c>
      <c r="H657" t="inlineStr">
        <is>
          <t>docx</t>
        </is>
      </c>
      <c r="I657" t="inlineStr">
        <is>
          <t>DOWNLOAD</t>
        </is>
      </c>
      <c r="J657" t="n">
        <v>0.02250576</v>
      </c>
      <c r="K657" t="inlineStr">
        <is>
          <t>Unread</t>
        </is>
      </c>
      <c r="L657" s="153" t="n">
        <v>46176.92764111111</v>
      </c>
      <c r="M657" t="inlineStr">
        <is>
          <t>69f31d00f93e5f00d66a21a4</t>
        </is>
      </c>
    </row>
    <row r="658">
      <c r="A658" s="149" t="inlineStr">
        <is>
          <t>Project Notos</t>
        </is>
      </c>
      <c r="B658" s="149" t="inlineStr">
        <is>
          <t>1.7.2</t>
        </is>
      </c>
      <c r="C658" s="17" t="inlineStr">
        <is>
          <t>Real Estate</t>
        </is>
      </c>
      <c r="D658" s="25" t="n"/>
      <c r="F658" s="150">
        <f>HYPERLINK("https://app.global.datasite.com/platform/container/696652ec0dc07cc02daa26a0/documents/content/index/69bd5276d52e3d657312ced3","Real Estate")</f>
        <v/>
      </c>
      <c r="G658" s="149" t="inlineStr">
        <is>
          <t>FOLDER</t>
        </is>
      </c>
      <c r="H658" s="149" t="n"/>
      <c r="I658" s="149" t="inlineStr">
        <is>
          <t>DOWNLOAD</t>
        </is>
      </c>
      <c r="J658" s="149" t="n"/>
      <c r="K658" s="149" t="inlineStr">
        <is>
          <t>Unread</t>
        </is>
      </c>
      <c r="L658" s="152" t="n">
        <v>46176.92764111111</v>
      </c>
      <c r="M658" s="149" t="inlineStr">
        <is>
          <t>69bd5276d52e3d657312ced3</t>
        </is>
      </c>
    </row>
    <row r="659">
      <c r="A659" t="inlineStr">
        <is>
          <t>Project Notos</t>
        </is>
      </c>
      <c r="B659" t="inlineStr">
        <is>
          <t>1.7.2.1</t>
        </is>
      </c>
      <c r="C659" s="15" t="inlineStr">
        <is>
          <t>FAP_sublease agreement_20260210</t>
        </is>
      </c>
      <c r="D659" s="20" t="inlineStr">
        <is>
          <t>Out-of-Scope</t>
        </is>
      </c>
      <c r="F659" s="151">
        <f>HYPERLINK("https://app.global.datasite.com/webviewer/?projectId=696652ec0dc07cc02daa26a0&amp;documentId=69c68a89fc19cdb8ee650e93","FAP_sublease agreement_20260210")</f>
        <v/>
      </c>
      <c r="G659" t="inlineStr">
        <is>
          <t>DOCUMENT</t>
        </is>
      </c>
      <c r="H659" t="inlineStr">
        <is>
          <t>pdf</t>
        </is>
      </c>
      <c r="I659" t="inlineStr">
        <is>
          <t>DOWNLOAD</t>
        </is>
      </c>
      <c r="J659" t="n">
        <v>0.71637821</v>
      </c>
      <c r="K659" t="inlineStr">
        <is>
          <t>Unread</t>
        </is>
      </c>
      <c r="L659" s="153" t="n">
        <v>46176.92764111111</v>
      </c>
      <c r="M659" t="inlineStr">
        <is>
          <t>69c68a89fc19cdb8ee650e93</t>
        </is>
      </c>
    </row>
    <row r="660">
      <c r="A660" s="149" t="inlineStr">
        <is>
          <t>Project Notos</t>
        </is>
      </c>
      <c r="B660" s="149" t="inlineStr">
        <is>
          <t>1.7.3</t>
        </is>
      </c>
      <c r="C660" s="17" t="inlineStr">
        <is>
          <t>Data protection</t>
        </is>
      </c>
      <c r="D660" s="25" t="n"/>
      <c r="F660" s="150">
        <f>HYPERLINK("https://app.global.datasite.com/platform/container/696652ec0dc07cc02daa26a0/documents/content/index/69cf8b413cd9c2ad7d2a483f","Data protection")</f>
        <v/>
      </c>
      <c r="G660" s="149" t="inlineStr">
        <is>
          <t>FOLDER</t>
        </is>
      </c>
      <c r="H660" s="149" t="n"/>
      <c r="I660" s="149" t="inlineStr">
        <is>
          <t>DOWNLOAD</t>
        </is>
      </c>
      <c r="J660" s="149" t="n"/>
      <c r="K660" s="149" t="inlineStr">
        <is>
          <t>Unread</t>
        </is>
      </c>
      <c r="L660" s="152" t="n">
        <v>46176.92764111111</v>
      </c>
      <c r="M660" s="149" t="inlineStr">
        <is>
          <t>69cf8b413cd9c2ad7d2a483f</t>
        </is>
      </c>
    </row>
    <row r="661">
      <c r="A661" t="inlineStr">
        <is>
          <t>Project Notos</t>
        </is>
      </c>
      <c r="B661" t="inlineStr">
        <is>
          <t>1.7.3.1</t>
        </is>
      </c>
      <c r="C661" s="15" t="inlineStr">
        <is>
          <t>FAP_GDPR information clauses</t>
        </is>
      </c>
      <c r="D661" s="20" t="inlineStr">
        <is>
          <t>Out-of-Scope</t>
        </is>
      </c>
      <c r="F661" s="151">
        <f>HYPERLINK("https://app.global.datasite.com/webviewer/?projectId=696652ec0dc07cc02daa26a0&amp;documentId=69cf8b4c132cbcd7b159cba3","FAP_GDPR information clauses")</f>
        <v/>
      </c>
      <c r="G661" t="inlineStr">
        <is>
          <t>DOCUMENT</t>
        </is>
      </c>
      <c r="H661" t="inlineStr">
        <is>
          <t>docx</t>
        </is>
      </c>
      <c r="I661" t="inlineStr">
        <is>
          <t>DOWNLOAD</t>
        </is>
      </c>
      <c r="J661" t="n">
        <v>0.02243423</v>
      </c>
      <c r="K661" t="inlineStr">
        <is>
          <t>Unread</t>
        </is>
      </c>
      <c r="L661" s="153" t="n">
        <v>46176.92764111111</v>
      </c>
      <c r="M661" t="inlineStr">
        <is>
          <t>69cf8b4c132cbcd7b159cba3</t>
        </is>
      </c>
    </row>
    <row r="662">
      <c r="A662" t="inlineStr">
        <is>
          <t>Project Notos</t>
        </is>
      </c>
      <c r="B662" t="inlineStr">
        <is>
          <t>1.7.3.2</t>
        </is>
      </c>
      <c r="C662" s="15" t="inlineStr">
        <is>
          <t>FAP_IT policy regarding GDPR</t>
        </is>
      </c>
      <c r="D662" s="20" t="inlineStr">
        <is>
          <t>Out-of-Scope</t>
        </is>
      </c>
      <c r="F662" s="151">
        <f>HYPERLINK("https://app.global.datasite.com/webviewer/?projectId=696652ec0dc07cc02daa26a0&amp;documentId=69cf8b4c132cbcd7b159cba4","FAP_IT policy regarding GDPR")</f>
        <v/>
      </c>
      <c r="G662" t="inlineStr">
        <is>
          <t>DOCUMENT</t>
        </is>
      </c>
      <c r="H662" t="inlineStr">
        <is>
          <t>docx</t>
        </is>
      </c>
      <c r="I662" t="inlineStr">
        <is>
          <t>DOWNLOAD</t>
        </is>
      </c>
      <c r="J662" t="n">
        <v>0.03282165</v>
      </c>
      <c r="K662" t="inlineStr">
        <is>
          <t>Unread</t>
        </is>
      </c>
      <c r="L662" s="153" t="n">
        <v>46176.92764111111</v>
      </c>
      <c r="M662" t="inlineStr">
        <is>
          <t>69cf8b4c132cbcd7b159cba4</t>
        </is>
      </c>
    </row>
    <row r="663">
      <c r="A663" t="inlineStr">
        <is>
          <t>Project Notos</t>
        </is>
      </c>
      <c r="B663" t="inlineStr">
        <is>
          <t>1.7.3.3</t>
        </is>
      </c>
      <c r="C663" s="15" t="inlineStr">
        <is>
          <t>FAP_personal data protection policy_KKW</t>
        </is>
      </c>
      <c r="D663" s="20" t="inlineStr">
        <is>
          <t>Out-of-Scope</t>
        </is>
      </c>
      <c r="F663" s="151">
        <f>HYPERLINK("https://app.global.datasite.com/webviewer/?projectId=696652ec0dc07cc02daa26a0&amp;documentId=69cf8b4c132cbcd7b159cba5","FAP_personal data protection policy_KKW")</f>
        <v/>
      </c>
      <c r="G663" t="inlineStr">
        <is>
          <t>DOCUMENT</t>
        </is>
      </c>
      <c r="H663" t="inlineStr">
        <is>
          <t>docx</t>
        </is>
      </c>
      <c r="I663" t="inlineStr">
        <is>
          <t>DOWNLOAD</t>
        </is>
      </c>
      <c r="J663" t="n">
        <v>0.06492995999999999</v>
      </c>
      <c r="K663" t="inlineStr">
        <is>
          <t>Unread</t>
        </is>
      </c>
      <c r="L663" s="153" t="n">
        <v>46176.92764111111</v>
      </c>
      <c r="M663" t="inlineStr">
        <is>
          <t>69cf8b4c132cbcd7b159cba5</t>
        </is>
      </c>
    </row>
    <row r="664">
      <c r="A664" s="154" t="inlineStr">
        <is>
          <t>Project Notos</t>
        </is>
      </c>
      <c r="B664" s="154" t="inlineStr">
        <is>
          <t>1.7.4</t>
        </is>
      </c>
      <c r="C664" s="155" t="inlineStr">
        <is>
          <t>Legal Proceedings</t>
        </is>
      </c>
      <c r="D664" s="156" t="n"/>
      <c r="E664" s="156" t="n"/>
      <c r="F664" s="157">
        <f>HYPERLINK("https://app.global.datasite.com/platform/container/696652ec0dc07cc02daa26a0/documents/content/index/69bd404776174ddbd7b6a446","Legal Proceedings")</f>
        <v/>
      </c>
      <c r="G664" s="154" t="inlineStr">
        <is>
          <t>FOLDER</t>
        </is>
      </c>
      <c r="H664" s="154" t="n"/>
      <c r="I664" s="154" t="inlineStr">
        <is>
          <t>DOWNLOAD</t>
        </is>
      </c>
      <c r="J664" s="154" t="n"/>
      <c r="K664" s="154" t="inlineStr">
        <is>
          <t>Unread</t>
        </is>
      </c>
      <c r="L664" s="158" t="n">
        <v>46195.66359459491</v>
      </c>
      <c r="M664" s="154" t="inlineStr">
        <is>
          <t>69bd404776174ddbd7b6a446</t>
        </is>
      </c>
    </row>
    <row r="665">
      <c r="A665" s="154" t="inlineStr">
        <is>
          <t>Project Notos</t>
        </is>
      </c>
      <c r="B665" s="154" t="inlineStr">
        <is>
          <t>1.7.4.1</t>
        </is>
      </c>
      <c r="C665" s="155" t="inlineStr">
        <is>
          <t>FAP_information on legal proceedings Kancelaria Magnet sp. z o.o._2022_02_22</t>
        </is>
      </c>
      <c r="D665" s="156" t="n"/>
      <c r="E665" s="156" t="n"/>
      <c r="F665" s="157">
        <f>HYPERLINK("https://app.global.datasite.com/webviewer/?projectId=696652ec0dc07cc02daa26a0&amp;documentId=69c68b86ede9e731bc90d8b3","FAP_information on legal proceedings Kancelaria Magnet sp. z o.o._2022_02_22")</f>
        <v/>
      </c>
      <c r="G665" s="154" t="inlineStr">
        <is>
          <t>DOCUMENT</t>
        </is>
      </c>
      <c r="H665" s="154" t="inlineStr">
        <is>
          <t>pdf</t>
        </is>
      </c>
      <c r="I665" s="154" t="inlineStr">
        <is>
          <t>DOWNLOAD</t>
        </is>
      </c>
      <c r="J665" s="154" t="n">
        <v>0.37009811</v>
      </c>
      <c r="K665" s="154" t="inlineStr">
        <is>
          <t>Read</t>
        </is>
      </c>
      <c r="L665" s="158" t="n">
        <v>46195.66359459491</v>
      </c>
      <c r="M665" s="154" t="inlineStr">
        <is>
          <t>69c68b86ede9e731bc90d8b3</t>
        </is>
      </c>
    </row>
    <row r="666">
      <c r="A666" s="154" t="inlineStr">
        <is>
          <t>Project Notos</t>
        </is>
      </c>
      <c r="B666" s="154" t="inlineStr">
        <is>
          <t>1.7.4.2</t>
        </is>
      </c>
      <c r="C666" s="155" t="inlineStr">
        <is>
          <t>FAP_information on legal proceedings to Kancelaria Magnet sp. z o.o._2024_01_29</t>
        </is>
      </c>
      <c r="D666" s="156" t="n"/>
      <c r="E666" s="156" t="n"/>
      <c r="F666" s="157">
        <f>HYPERLINK("https://app.global.datasite.com/webviewer/?projectId=696652ec0dc07cc02daa26a0&amp;documentId=69c68b86ede9e731bc90d8b4","FAP_information on legal proceedings to Kancelaria Magnet sp. z o.o._2024_01_29")</f>
        <v/>
      </c>
      <c r="G666" s="154" t="inlineStr">
        <is>
          <t>DOCUMENT</t>
        </is>
      </c>
      <c r="H666" s="154" t="inlineStr">
        <is>
          <t>pdf</t>
        </is>
      </c>
      <c r="I666" s="154" t="inlineStr">
        <is>
          <t>DOWNLOAD</t>
        </is>
      </c>
      <c r="J666" s="154" t="n">
        <v>0.52258682</v>
      </c>
      <c r="K666" s="154" t="inlineStr">
        <is>
          <t>Read</t>
        </is>
      </c>
      <c r="L666" s="158" t="n">
        <v>46195.66359459491</v>
      </c>
      <c r="M666" s="154" t="inlineStr">
        <is>
          <t>69c68b86ede9e731bc90d8b4</t>
        </is>
      </c>
    </row>
    <row r="667">
      <c r="A667" s="154" t="inlineStr">
        <is>
          <t>Project Notos</t>
        </is>
      </c>
      <c r="B667" s="154" t="inlineStr">
        <is>
          <t>1.7.4.3</t>
        </is>
      </c>
      <c r="C667" s="155" t="inlineStr">
        <is>
          <t>FAP_information on legal proceedings Kancelaria Magnet sp. z o.o._2021_09_24</t>
        </is>
      </c>
      <c r="D667" s="156" t="n"/>
      <c r="E667" s="156" t="n"/>
      <c r="F667" s="157">
        <f>HYPERLINK("https://app.global.datasite.com/webviewer/?projectId=696652ec0dc07cc02daa26a0&amp;documentId=69c68b86ede9e731bc90d8b5","FAP_information on legal proceedings Kancelaria Magnet sp. z o.o._2021_09_24")</f>
        <v/>
      </c>
      <c r="G667" s="154" t="inlineStr">
        <is>
          <t>DOCUMENT</t>
        </is>
      </c>
      <c r="H667" s="154" t="inlineStr">
        <is>
          <t>pdf</t>
        </is>
      </c>
      <c r="I667" s="154" t="inlineStr">
        <is>
          <t>DOWNLOAD</t>
        </is>
      </c>
      <c r="J667" s="154" t="n">
        <v>0.34518337</v>
      </c>
      <c r="K667" s="154" t="inlineStr">
        <is>
          <t>Read</t>
        </is>
      </c>
      <c r="L667" s="158" t="n">
        <v>46195.66359459491</v>
      </c>
      <c r="M667" s="154" t="inlineStr">
        <is>
          <t>69c68b86ede9e731bc90d8b5</t>
        </is>
      </c>
    </row>
    <row r="668">
      <c r="A668" s="154" t="inlineStr">
        <is>
          <t>Project Notos</t>
        </is>
      </c>
      <c r="B668" s="154" t="inlineStr">
        <is>
          <t>1.7.4.4</t>
        </is>
      </c>
      <c r="C668" s="155" t="inlineStr">
        <is>
          <t>FAP_information on legal proceedings to Magnet Audit sp. z o.o._2026_02_24</t>
        </is>
      </c>
      <c r="D668" s="156" t="n"/>
      <c r="E668" s="156" t="n"/>
      <c r="F668" s="157">
        <f>HYPERLINK("https://app.global.datasite.com/webviewer/?projectId=696652ec0dc07cc02daa26a0&amp;documentId=69c68b86ede9e731bc90d8b7","FAP_information on legal proceedings to Magnet Audit sp. z o.o._2026_02_24")</f>
        <v/>
      </c>
      <c r="G668" s="154" t="inlineStr">
        <is>
          <t>DOCUMENT</t>
        </is>
      </c>
      <c r="H668" s="154" t="inlineStr">
        <is>
          <t>pdf</t>
        </is>
      </c>
      <c r="I668" s="154" t="inlineStr">
        <is>
          <t>DOWNLOAD</t>
        </is>
      </c>
      <c r="J668" s="154" t="n">
        <v>0.5299139</v>
      </c>
      <c r="K668" s="154" t="inlineStr">
        <is>
          <t>Read</t>
        </is>
      </c>
      <c r="L668" s="158" t="n">
        <v>46195.66359459491</v>
      </c>
      <c r="M668" s="154" t="inlineStr">
        <is>
          <t>69c68b86ede9e731bc90d8b7</t>
        </is>
      </c>
    </row>
    <row r="669">
      <c r="A669" s="154" t="inlineStr">
        <is>
          <t>Project Notos</t>
        </is>
      </c>
      <c r="B669" s="154" t="inlineStr">
        <is>
          <t>1.7.4.5</t>
        </is>
      </c>
      <c r="C669" s="155" t="inlineStr">
        <is>
          <t>FAP_information on legal proceedings to Magnet Audit sp. z o.o._2026_02_24</t>
        </is>
      </c>
      <c r="D669" s="156" t="n"/>
      <c r="E669" s="156" t="n"/>
      <c r="F669" s="157">
        <f>HYPERLINK("https://app.global.datasite.com/webviewer/?projectId=696652ec0dc07cc02daa26a0&amp;documentId=69c68b86ede9e731bc90d8b8","FAP_information on legal proceedings to Magnet Audit sp. z o.o._2026_02_24")</f>
        <v/>
      </c>
      <c r="G669" s="154" t="inlineStr">
        <is>
          <t>DOCUMENT</t>
        </is>
      </c>
      <c r="H669" s="154" t="inlineStr">
        <is>
          <t>pdf</t>
        </is>
      </c>
      <c r="I669" s="154" t="inlineStr">
        <is>
          <t>DOWNLOAD</t>
        </is>
      </c>
      <c r="J669" s="154" t="n">
        <v>0.53169441</v>
      </c>
      <c r="K669" s="154" t="inlineStr">
        <is>
          <t>Read</t>
        </is>
      </c>
      <c r="L669" s="158" t="n">
        <v>46195.66359459491</v>
      </c>
      <c r="M669" s="154" t="inlineStr">
        <is>
          <t>69c68b86ede9e731bc90d8b8</t>
        </is>
      </c>
    </row>
    <row r="670">
      <c r="A670" s="154" t="inlineStr">
        <is>
          <t>Project Notos</t>
        </is>
      </c>
      <c r="B670" s="154" t="inlineStr">
        <is>
          <t>1.7.4.6</t>
        </is>
      </c>
      <c r="C670" s="155" t="inlineStr">
        <is>
          <t>FAP_information on legal proceedings to Magnet Audit sp. z o.o._2026_02_24</t>
        </is>
      </c>
      <c r="D670" s="156" t="n"/>
      <c r="E670" s="156" t="n"/>
      <c r="F670" s="157">
        <f>HYPERLINK("https://app.global.datasite.com/webviewer/?projectId=696652ec0dc07cc02daa26a0&amp;documentId=69c68aecede9e731bc90d892","FAP_information on legal proceedings to Magnet Audit sp. z o.o._2026_02_24")</f>
        <v/>
      </c>
      <c r="G670" s="154" t="inlineStr">
        <is>
          <t>DOCUMENT</t>
        </is>
      </c>
      <c r="H670" s="154" t="inlineStr">
        <is>
          <t>pdf</t>
        </is>
      </c>
      <c r="I670" s="154" t="inlineStr">
        <is>
          <t>DOWNLOAD</t>
        </is>
      </c>
      <c r="J670" s="154" t="n">
        <v>0.5312709799999999</v>
      </c>
      <c r="K670" s="154" t="inlineStr">
        <is>
          <t>Unread</t>
        </is>
      </c>
      <c r="L670" s="158" t="n">
        <v>46195.66359459491</v>
      </c>
      <c r="M670" s="154" t="inlineStr">
        <is>
          <t>69c68aecede9e731bc90d892</t>
        </is>
      </c>
    </row>
    <row r="671">
      <c r="A671" s="154" t="inlineStr">
        <is>
          <t>Project Notos</t>
        </is>
      </c>
      <c r="B671" s="154" t="inlineStr">
        <is>
          <t>1.7.4.7</t>
        </is>
      </c>
      <c r="C671" s="155" t="inlineStr">
        <is>
          <t>FAP_information on legal proceedings to Magnet Audit sp. z o.o._2025_01_17</t>
        </is>
      </c>
      <c r="D671" s="156" t="n"/>
      <c r="E671" s="156" t="n"/>
      <c r="F671" s="157">
        <f>HYPERLINK("https://app.global.datasite.com/webviewer/?projectId=696652ec0dc07cc02daa26a0&amp;documentId=69c68b86ede9e731bc90d8b6","FAP_information on legal proceedings to Magnet Audit sp. z o.o._2025_01_17")</f>
        <v/>
      </c>
      <c r="G671" s="154" t="inlineStr">
        <is>
          <t>DOCUMENT</t>
        </is>
      </c>
      <c r="H671" s="154" t="inlineStr">
        <is>
          <t>pdf</t>
        </is>
      </c>
      <c r="I671" s="154" t="inlineStr">
        <is>
          <t>DOWNLOAD</t>
        </is>
      </c>
      <c r="J671" s="154" t="n">
        <v>0.7407236</v>
      </c>
      <c r="K671" s="154" t="inlineStr">
        <is>
          <t>Read</t>
        </is>
      </c>
      <c r="L671" s="158" t="n">
        <v>46195.66359459491</v>
      </c>
      <c r="M671" s="154" t="inlineStr">
        <is>
          <t>69c68b86ede9e731bc90d8b6</t>
        </is>
      </c>
    </row>
    <row r="672">
      <c r="A672" s="154" t="inlineStr">
        <is>
          <t>Project Notos</t>
        </is>
      </c>
      <c r="B672" s="154" t="inlineStr">
        <is>
          <t>1.7.5</t>
        </is>
      </c>
      <c r="C672" s="155" t="inlineStr">
        <is>
          <t>Suppliers</t>
        </is>
      </c>
      <c r="D672" s="156" t="n"/>
      <c r="E672" s="156" t="n"/>
      <c r="F672" s="157">
        <f>HYPERLINK("https://app.global.datasite.com/platform/container/696652ec0dc07cc02daa26a0/documents/content/index/69df77be597b8151b0b16f36","Suppliers")</f>
        <v/>
      </c>
      <c r="G672" s="154" t="inlineStr">
        <is>
          <t>FOLDER</t>
        </is>
      </c>
      <c r="H672" s="154" t="n"/>
      <c r="I672" s="154" t="inlineStr">
        <is>
          <t>DOWNLOAD</t>
        </is>
      </c>
      <c r="J672" s="154" t="n"/>
      <c r="K672" s="154" t="inlineStr">
        <is>
          <t>Unread</t>
        </is>
      </c>
      <c r="L672" s="158" t="n">
        <v>46195.66359459491</v>
      </c>
      <c r="M672" s="154" t="inlineStr">
        <is>
          <t>69df77be597b8151b0b16f36</t>
        </is>
      </c>
    </row>
    <row r="673">
      <c r="A673" s="154" t="inlineStr">
        <is>
          <t>Project Notos</t>
        </is>
      </c>
      <c r="B673" s="154" t="inlineStr">
        <is>
          <t>1.7.5.1</t>
        </is>
      </c>
      <c r="C673" s="155" t="inlineStr">
        <is>
          <t>FAP_termination letter to Bio-Circle Surface Technology_2025_09_25</t>
        </is>
      </c>
      <c r="D673" s="156" t="n"/>
      <c r="E673" s="156" t="n"/>
      <c r="F673" s="157">
        <f>HYPERLINK("https://app.global.datasite.com/webviewer/?projectId=696652ec0dc07cc02daa26a0&amp;documentId=69c68c551937d5b42e53d1b9","FAP_termination letter to Bio-Circle Surface Technology_2025_09_25")</f>
        <v/>
      </c>
      <c r="G673" s="154" t="inlineStr">
        <is>
          <t>DOCUMENT</t>
        </is>
      </c>
      <c r="H673" s="154" t="inlineStr">
        <is>
          <t>pdf</t>
        </is>
      </c>
      <c r="I673" s="154" t="inlineStr">
        <is>
          <t>DOWNLOAD</t>
        </is>
      </c>
      <c r="J673" s="154" t="n">
        <v>0.45375919</v>
      </c>
      <c r="K673" s="154" t="inlineStr">
        <is>
          <t>Read</t>
        </is>
      </c>
      <c r="L673" s="158" t="n">
        <v>46195.66359459491</v>
      </c>
      <c r="M673" s="154" t="inlineStr">
        <is>
          <t>69c68c551937d5b42e53d1b9</t>
        </is>
      </c>
    </row>
    <row r="674">
      <c r="A674" s="154" t="inlineStr">
        <is>
          <t>Project Notos</t>
        </is>
      </c>
      <c r="B674" s="154" t="inlineStr">
        <is>
          <t>1.7.5.2</t>
        </is>
      </c>
      <c r="C674" s="155" t="inlineStr">
        <is>
          <t>FAP_termination letter to Krajowy Rejestr Długów_2025_09_25</t>
        </is>
      </c>
      <c r="D674" s="156" t="n"/>
      <c r="E674" s="156" t="n"/>
      <c r="F674" s="157">
        <f>HYPERLINK("https://app.global.datasite.com/webviewer/?projectId=696652ec0dc07cc02daa26a0&amp;documentId=69c68c551937d5b42e53d1ba","FAP_termination letter to Krajowy Rejestr Długów_2025_09_25")</f>
        <v/>
      </c>
      <c r="G674" s="154" t="inlineStr">
        <is>
          <t>DOCUMENT</t>
        </is>
      </c>
      <c r="H674" s="154" t="inlineStr">
        <is>
          <t>pdf</t>
        </is>
      </c>
      <c r="I674" s="154" t="inlineStr">
        <is>
          <t>DOWNLOAD</t>
        </is>
      </c>
      <c r="J674" s="154" t="n">
        <v>0.43466949</v>
      </c>
      <c r="K674" s="154" t="inlineStr">
        <is>
          <t>Unread</t>
        </is>
      </c>
      <c r="L674" s="158" t="n">
        <v>46195.66359459491</v>
      </c>
      <c r="M674" s="154" t="inlineStr">
        <is>
          <t>69c68c551937d5b42e53d1ba</t>
        </is>
      </c>
    </row>
    <row r="675">
      <c r="A675" s="154" t="inlineStr">
        <is>
          <t>Project Notos</t>
        </is>
      </c>
      <c r="B675" s="154" t="inlineStr">
        <is>
          <t>1.7.5.3</t>
        </is>
      </c>
      <c r="C675" s="155" t="inlineStr">
        <is>
          <t>FAP_termination letter to LUX MED_2025_09_25</t>
        </is>
      </c>
      <c r="D675" s="156" t="n"/>
      <c r="E675" s="156" t="n"/>
      <c r="F675" s="157">
        <f>HYPERLINK("https://app.global.datasite.com/webviewer/?projectId=696652ec0dc07cc02daa26a0&amp;documentId=69c68c551937d5b42e53d1bb","FAP_termination letter to LUX MED_2025_09_25")</f>
        <v/>
      </c>
      <c r="G675" s="154" t="inlineStr">
        <is>
          <t>DOCUMENT</t>
        </is>
      </c>
      <c r="H675" s="154" t="inlineStr">
        <is>
          <t>pdf</t>
        </is>
      </c>
      <c r="I675" s="154" t="inlineStr">
        <is>
          <t>DOWNLOAD</t>
        </is>
      </c>
      <c r="J675" s="154" t="n">
        <v>0.44356822</v>
      </c>
      <c r="K675" s="154" t="inlineStr">
        <is>
          <t>Unread</t>
        </is>
      </c>
      <c r="L675" s="158" t="n">
        <v>46195.66359459491</v>
      </c>
      <c r="M675" s="154" t="inlineStr">
        <is>
          <t>69c68c551937d5b42e53d1bb</t>
        </is>
      </c>
    </row>
    <row r="676">
      <c r="A676" s="154" t="inlineStr">
        <is>
          <t>Project Notos</t>
        </is>
      </c>
      <c r="B676" s="154" t="inlineStr">
        <is>
          <t>1.7.5.4</t>
        </is>
      </c>
      <c r="C676" s="155" t="inlineStr">
        <is>
          <t>FAP_termination letter to MEWA Textil-Service_2025_09_25</t>
        </is>
      </c>
      <c r="D676" s="156" t="n"/>
      <c r="E676" s="156" t="n"/>
      <c r="F676" s="157">
        <f>HYPERLINK("https://app.global.datasite.com/webviewer/?projectId=696652ec0dc07cc02daa26a0&amp;documentId=69c68c551937d5b42e53d1bc","FAP_termination letter to MEWA Textil-Service_2025_09_25")</f>
        <v/>
      </c>
      <c r="G676" s="154" t="inlineStr">
        <is>
          <t>DOCUMENT</t>
        </is>
      </c>
      <c r="H676" s="154" t="inlineStr">
        <is>
          <t>pdf</t>
        </is>
      </c>
      <c r="I676" s="154" t="inlineStr">
        <is>
          <t>DOWNLOAD</t>
        </is>
      </c>
      <c r="J676" s="154" t="n">
        <v>0.45270156</v>
      </c>
      <c r="K676" s="154" t="inlineStr">
        <is>
          <t>Unread</t>
        </is>
      </c>
      <c r="L676" s="158" t="n">
        <v>46195.66359459491</v>
      </c>
      <c r="M676" s="154" t="inlineStr">
        <is>
          <t>69c68c551937d5b42e53d1bc</t>
        </is>
      </c>
    </row>
    <row r="677">
      <c r="A677" s="154" t="inlineStr">
        <is>
          <t>Project Notos</t>
        </is>
      </c>
      <c r="B677" s="154" t="inlineStr">
        <is>
          <t>1.7.5.5</t>
        </is>
      </c>
      <c r="C677" s="155" t="inlineStr">
        <is>
          <t>FAP_termination letter to Elis Texstile Service sp. z o.o._2025_09_25</t>
        </is>
      </c>
      <c r="D677" s="156" t="n"/>
      <c r="E677" s="156" t="n"/>
      <c r="F677" s="157">
        <f>HYPERLINK("https://app.global.datasite.com/webviewer/?projectId=696652ec0dc07cc02daa26a0&amp;documentId=69c68c551937d5b42e53d1bd","FAP_termination letter to Elis Texstile Service sp. z o.o._2025_09_25")</f>
        <v/>
      </c>
      <c r="G677" s="154" t="inlineStr">
        <is>
          <t>DOCUMENT</t>
        </is>
      </c>
      <c r="H677" s="154" t="inlineStr">
        <is>
          <t>pdf</t>
        </is>
      </c>
      <c r="I677" s="154" t="inlineStr">
        <is>
          <t>DOWNLOAD</t>
        </is>
      </c>
      <c r="J677" s="154" t="n">
        <v>0.49061393</v>
      </c>
      <c r="K677" s="154" t="inlineStr">
        <is>
          <t>Unread</t>
        </is>
      </c>
      <c r="L677" s="158" t="n">
        <v>46195.66359459491</v>
      </c>
      <c r="M677" s="154" t="inlineStr">
        <is>
          <t>69c68c551937d5b42e53d1bd</t>
        </is>
      </c>
    </row>
    <row r="678">
      <c r="A678" s="149" t="inlineStr">
        <is>
          <t>Project Notos</t>
        </is>
      </c>
      <c r="B678" s="149" t="inlineStr">
        <is>
          <t>1.8</t>
        </is>
      </c>
      <c r="C678" s="17" t="inlineStr">
        <is>
          <t>Fertinger Automotive North America Inc. (FA US)</t>
        </is>
      </c>
      <c r="D678" s="25" t="n"/>
      <c r="F678" s="150">
        <f>HYPERLINK("https://app.global.datasite.com/platform/container/696652ec0dc07cc02daa26a0/documents/content/index/699ed596b832202a0b13f7dc","Fertinger Automotive North America Inc. (FA US)")</f>
        <v/>
      </c>
      <c r="G678" s="149" t="inlineStr">
        <is>
          <t>FOLDER</t>
        </is>
      </c>
      <c r="H678" s="149" t="n"/>
      <c r="I678" s="149" t="inlineStr">
        <is>
          <t>DOWNLOAD</t>
        </is>
      </c>
      <c r="J678" s="149" t="n"/>
      <c r="K678" s="149" t="inlineStr">
        <is>
          <t>Unread</t>
        </is>
      </c>
      <c r="L678" s="152" t="n">
        <v>46176.92764111111</v>
      </c>
      <c r="M678" s="149" t="inlineStr">
        <is>
          <t>699ed596b832202a0b13f7dc</t>
        </is>
      </c>
    </row>
    <row r="679">
      <c r="A679" s="149" t="inlineStr">
        <is>
          <t>Project Notos</t>
        </is>
      </c>
      <c r="B679" s="149" t="inlineStr">
        <is>
          <t>1.8.1</t>
        </is>
      </c>
      <c r="C679" s="17" t="inlineStr">
        <is>
          <t>Corporate</t>
        </is>
      </c>
      <c r="D679" s="25" t="n"/>
      <c r="F679" s="150">
        <f>HYPERLINK("https://app.global.datasite.com/platform/container/696652ec0dc07cc02daa26a0/documents/content/index/69bd542dcbf7144146ad607b","Corporate")</f>
        <v/>
      </c>
      <c r="G679" s="149" t="inlineStr">
        <is>
          <t>FOLDER</t>
        </is>
      </c>
      <c r="H679" s="149" t="n"/>
      <c r="I679" s="149" t="inlineStr">
        <is>
          <t>DOWNLOAD</t>
        </is>
      </c>
      <c r="J679" s="149" t="n"/>
      <c r="K679" s="149" t="inlineStr">
        <is>
          <t>Unread</t>
        </is>
      </c>
      <c r="L679" s="152" t="n">
        <v>46176.92764111111</v>
      </c>
      <c r="M679" s="149" t="inlineStr">
        <is>
          <t>69bd542dcbf7144146ad607b</t>
        </is>
      </c>
    </row>
    <row r="680">
      <c r="A680" s="149" t="inlineStr">
        <is>
          <t>Project Notos</t>
        </is>
      </c>
      <c r="B680" s="149" t="inlineStr">
        <is>
          <t>1.8.1.1</t>
        </is>
      </c>
      <c r="C680" s="17" t="inlineStr">
        <is>
          <t>Company register</t>
        </is>
      </c>
      <c r="D680" s="25" t="n"/>
      <c r="F680" s="150">
        <f>HYPERLINK("https://app.global.datasite.com/platform/container/696652ec0dc07cc02daa26a0/documents/content/index/699ed596b832202a0b13f7dd","Company register")</f>
        <v/>
      </c>
      <c r="G680" s="149" t="inlineStr">
        <is>
          <t>FOLDER</t>
        </is>
      </c>
      <c r="H680" s="149" t="n"/>
      <c r="I680" s="149" t="inlineStr">
        <is>
          <t>DOWNLOAD</t>
        </is>
      </c>
      <c r="J680" s="149" t="n"/>
      <c r="K680" s="149" t="inlineStr">
        <is>
          <t>Unread</t>
        </is>
      </c>
      <c r="L680" s="152" t="n">
        <v>46176.92764111111</v>
      </c>
      <c r="M680" s="149" t="inlineStr">
        <is>
          <t>699ed596b832202a0b13f7dd</t>
        </is>
      </c>
    </row>
    <row r="681">
      <c r="A681" t="inlineStr">
        <is>
          <t>Project Notos</t>
        </is>
      </c>
      <c r="B681" t="inlineStr">
        <is>
          <t>1.8.1.1.1</t>
        </is>
      </c>
      <c r="C681" s="15" t="inlineStr">
        <is>
          <t>FA US_name change_220309</t>
        </is>
      </c>
      <c r="D681" s="20" t="inlineStr">
        <is>
          <t>Out-of-Scope</t>
        </is>
      </c>
      <c r="F681" s="151">
        <f>HYPERLINK("https://app.global.datasite.com/webviewer/?projectId=696652ec0dc07cc02daa26a0&amp;documentId=69bd1a8676174ddbd7b69b2a","FA US_name change_220309")</f>
        <v/>
      </c>
      <c r="G681" t="inlineStr">
        <is>
          <t>DOCUMENT</t>
        </is>
      </c>
      <c r="H681" t="inlineStr">
        <is>
          <t>pdf</t>
        </is>
      </c>
      <c r="I681" t="inlineStr">
        <is>
          <t>DOWNLOAD</t>
        </is>
      </c>
      <c r="J681" t="n">
        <v>0.34815692</v>
      </c>
      <c r="K681" t="inlineStr">
        <is>
          <t>Unread</t>
        </is>
      </c>
      <c r="L681" s="153" t="n">
        <v>46176.92764111111</v>
      </c>
      <c r="M681" t="inlineStr">
        <is>
          <t>69bd1a8676174ddbd7b69b2a</t>
        </is>
      </c>
    </row>
    <row r="682">
      <c r="A682" s="149" t="inlineStr">
        <is>
          <t>Project Notos</t>
        </is>
      </c>
      <c r="B682" s="149" t="inlineStr">
        <is>
          <t>1.8.1.2</t>
        </is>
      </c>
      <c r="C682" s="17" t="inlineStr">
        <is>
          <t>Articles of association</t>
        </is>
      </c>
      <c r="D682" s="25" t="n"/>
      <c r="F682" s="150">
        <f>HYPERLINK("https://app.global.datasite.com/platform/container/696652ec0dc07cc02daa26a0/documents/content/index/699ed596b832202a0b13f7df","Articles of association")</f>
        <v/>
      </c>
      <c r="G682" s="149" t="inlineStr">
        <is>
          <t>FOLDER</t>
        </is>
      </c>
      <c r="H682" s="149" t="n"/>
      <c r="I682" s="149" t="inlineStr">
        <is>
          <t>DOWNLOAD</t>
        </is>
      </c>
      <c r="J682" s="149" t="n"/>
      <c r="K682" s="149" t="inlineStr">
        <is>
          <t>Unread</t>
        </is>
      </c>
      <c r="L682" s="152" t="n">
        <v>46176.92764111111</v>
      </c>
      <c r="M682" s="149" t="inlineStr">
        <is>
          <t>699ed596b832202a0b13f7df</t>
        </is>
      </c>
    </row>
    <row r="683">
      <c r="A683" t="inlineStr">
        <is>
          <t>Project Notos</t>
        </is>
      </c>
      <c r="B683" t="inlineStr">
        <is>
          <t>1.8.1.2.1</t>
        </is>
      </c>
      <c r="C683" s="15" t="inlineStr">
        <is>
          <t>FA US_bylaws_150911</t>
        </is>
      </c>
      <c r="D683" s="20" t="inlineStr">
        <is>
          <t>Out-of-Scope</t>
        </is>
      </c>
      <c r="F683" s="151">
        <f>HYPERLINK("https://app.global.datasite.com/webviewer/?projectId=696652ec0dc07cc02daa26a0&amp;documentId=69bd1aa10230325cb85d229b","FA US_bylaws_150911")</f>
        <v/>
      </c>
      <c r="G683" t="inlineStr">
        <is>
          <t>DOCUMENT</t>
        </is>
      </c>
      <c r="H683" t="inlineStr">
        <is>
          <t>pdf</t>
        </is>
      </c>
      <c r="I683" t="inlineStr">
        <is>
          <t>DOWNLOAD</t>
        </is>
      </c>
      <c r="J683" t="n">
        <v>2.47349071</v>
      </c>
      <c r="K683" t="inlineStr">
        <is>
          <t>Unread</t>
        </is>
      </c>
      <c r="L683" s="153" t="n">
        <v>46176.92764111111</v>
      </c>
      <c r="M683" t="inlineStr">
        <is>
          <t>69bd1aa10230325cb85d229b</t>
        </is>
      </c>
    </row>
    <row r="684">
      <c r="A684" t="inlineStr">
        <is>
          <t>Project Notos</t>
        </is>
      </c>
      <c r="B684" t="inlineStr">
        <is>
          <t>1.8.1.2.2</t>
        </is>
      </c>
      <c r="C684" s="15" t="inlineStr">
        <is>
          <t>FA US_name change_220903</t>
        </is>
      </c>
      <c r="D684" s="20" t="inlineStr">
        <is>
          <t>Out-of-Scope</t>
        </is>
      </c>
      <c r="F684" s="151">
        <f>HYPERLINK("https://app.global.datasite.com/webviewer/?projectId=696652ec0dc07cc02daa26a0&amp;documentId=69bd1aa10230325cb85d229c","FA US_name change_220903")</f>
        <v/>
      </c>
      <c r="G684" t="inlineStr">
        <is>
          <t>DOCUMENT</t>
        </is>
      </c>
      <c r="H684" t="inlineStr">
        <is>
          <t>pdf</t>
        </is>
      </c>
      <c r="I684" t="inlineStr">
        <is>
          <t>DOWNLOAD</t>
        </is>
      </c>
      <c r="J684" t="n">
        <v>0.34766578</v>
      </c>
      <c r="K684" t="inlineStr">
        <is>
          <t>Unread</t>
        </is>
      </c>
      <c r="L684" s="153" t="n">
        <v>46176.92764111111</v>
      </c>
      <c r="M684" t="inlineStr">
        <is>
          <t>69bd1aa10230325cb85d229c</t>
        </is>
      </c>
    </row>
    <row r="685">
      <c r="A685" t="inlineStr">
        <is>
          <t>Project Notos</t>
        </is>
      </c>
      <c r="B685" t="inlineStr">
        <is>
          <t>1.8.1.2.3</t>
        </is>
      </c>
      <c r="C685" s="15" t="inlineStr">
        <is>
          <t>FA US_secretarys certificate_220422</t>
        </is>
      </c>
      <c r="D685" s="20" t="inlineStr">
        <is>
          <t>Out-of-Scope</t>
        </is>
      </c>
      <c r="F685" s="151">
        <f>HYPERLINK("https://app.global.datasite.com/webviewer/?projectId=696652ec0dc07cc02daa26a0&amp;documentId=69bd1aa10230325cb85d229d","FA US_secretarys certificate_220422")</f>
        <v/>
      </c>
      <c r="G685" t="inlineStr">
        <is>
          <t>DOCUMENT</t>
        </is>
      </c>
      <c r="H685" t="inlineStr">
        <is>
          <t>pdf</t>
        </is>
      </c>
      <c r="I685" t="inlineStr">
        <is>
          <t>DOWNLOAD</t>
        </is>
      </c>
      <c r="J685" t="n">
        <v>0.09412764999999999</v>
      </c>
      <c r="K685" t="inlineStr">
        <is>
          <t>Unread</t>
        </is>
      </c>
      <c r="L685" s="153" t="n">
        <v>46176.92764111111</v>
      </c>
      <c r="M685" t="inlineStr">
        <is>
          <t>69bd1aa10230325cb85d229d</t>
        </is>
      </c>
    </row>
    <row r="686">
      <c r="A686" s="149" t="inlineStr">
        <is>
          <t>Project Notos</t>
        </is>
      </c>
      <c r="B686" s="149" t="inlineStr">
        <is>
          <t>1.8.1.3</t>
        </is>
      </c>
      <c r="C686" s="17" t="inlineStr">
        <is>
          <t>Miscellaneous</t>
        </is>
      </c>
      <c r="D686" s="25" t="n"/>
      <c r="F686" s="150">
        <f>HYPERLINK("https://app.global.datasite.com/platform/container/696652ec0dc07cc02daa26a0/documents/content/index/69bd1b93e2032591068f1ab1","Miscellaneous")</f>
        <v/>
      </c>
      <c r="G686" s="149" t="inlineStr">
        <is>
          <t>FOLDER</t>
        </is>
      </c>
      <c r="H686" s="149" t="n"/>
      <c r="I686" s="149" t="inlineStr">
        <is>
          <t>DOWNLOAD</t>
        </is>
      </c>
      <c r="J686" s="149" t="n"/>
      <c r="K686" s="149" t="inlineStr">
        <is>
          <t>Unread</t>
        </is>
      </c>
      <c r="L686" s="152" t="n">
        <v>46176.92764111111</v>
      </c>
      <c r="M686" s="149" t="inlineStr">
        <is>
          <t>69bd1b93e2032591068f1ab1</t>
        </is>
      </c>
    </row>
    <row r="687">
      <c r="A687" t="inlineStr">
        <is>
          <t>Project Notos</t>
        </is>
      </c>
      <c r="B687" t="inlineStr">
        <is>
          <t>1.8.1.3.1</t>
        </is>
      </c>
      <c r="C687" s="15" t="inlineStr">
        <is>
          <t>FA US_certificate of good standing_220310</t>
        </is>
      </c>
      <c r="D687" s="20" t="inlineStr">
        <is>
          <t>Out-of-Scope</t>
        </is>
      </c>
      <c r="F687" s="151">
        <f>HYPERLINK("https://app.global.datasite.com/webviewer/?projectId=696652ec0dc07cc02daa26a0&amp;documentId=69bd1ba9cf69cc9c7d0e3366","FA US_certificate of good standing_220310")</f>
        <v/>
      </c>
      <c r="G687" t="inlineStr">
        <is>
          <t>DOCUMENT</t>
        </is>
      </c>
      <c r="H687" t="inlineStr">
        <is>
          <t>pdf</t>
        </is>
      </c>
      <c r="I687" t="inlineStr">
        <is>
          <t>DOWNLOAD</t>
        </is>
      </c>
      <c r="J687" t="n">
        <v>0.08582401000000001</v>
      </c>
      <c r="K687" t="inlineStr">
        <is>
          <t>Unread</t>
        </is>
      </c>
      <c r="L687" s="153" t="n">
        <v>46176.92764111111</v>
      </c>
      <c r="M687" t="inlineStr">
        <is>
          <t>69bd1ba9cf69cc9c7d0e3366</t>
        </is>
      </c>
    </row>
    <row r="688">
      <c r="A688" s="149" t="inlineStr">
        <is>
          <t>Project Notos</t>
        </is>
      </c>
      <c r="B688" s="149" t="inlineStr">
        <is>
          <t>1.9</t>
        </is>
      </c>
      <c r="C688" s="17" t="inlineStr">
        <is>
          <t>Innerio (Changsha) Thermal Technology Co. Ltd. (ITTC)</t>
        </is>
      </c>
      <c r="D688" s="25" t="n"/>
      <c r="F688" s="150">
        <f>HYPERLINK("https://app.global.datasite.com/platform/container/696652ec0dc07cc02daa26a0/documents/content/index/698cd91e5a2feb615581226f","Innerio (Changsha) Thermal Technology Co. Ltd. (ITTC)")</f>
        <v/>
      </c>
      <c r="G688" s="149" t="inlineStr">
        <is>
          <t>FOLDER</t>
        </is>
      </c>
      <c r="H688" s="149" t="n"/>
      <c r="I688" s="149" t="inlineStr">
        <is>
          <t>DOWNLOAD</t>
        </is>
      </c>
      <c r="J688" s="149" t="n"/>
      <c r="K688" s="149" t="inlineStr">
        <is>
          <t>Unread</t>
        </is>
      </c>
      <c r="L688" s="152" t="n">
        <v>46176.92764111111</v>
      </c>
      <c r="M688" s="149" t="inlineStr">
        <is>
          <t>698cd91e5a2feb615581226f</t>
        </is>
      </c>
    </row>
    <row r="689">
      <c r="A689" s="149" t="inlineStr">
        <is>
          <t>Project Notos</t>
        </is>
      </c>
      <c r="B689" s="149" t="inlineStr">
        <is>
          <t>1.9.1</t>
        </is>
      </c>
      <c r="C689" s="17" t="inlineStr">
        <is>
          <t>Corporate</t>
        </is>
      </c>
      <c r="D689" s="25" t="n"/>
      <c r="F689" s="150">
        <f>HYPERLINK("https://app.global.datasite.com/platform/container/696652ec0dc07cc02daa26a0/documents/content/index/69bd55a81daeb0f3b5e0b1a7","Corporate")</f>
        <v/>
      </c>
      <c r="G689" s="149" t="inlineStr">
        <is>
          <t>FOLDER</t>
        </is>
      </c>
      <c r="H689" s="149" t="n"/>
      <c r="I689" s="149" t="inlineStr">
        <is>
          <t>DOWNLOAD</t>
        </is>
      </c>
      <c r="J689" s="149" t="n"/>
      <c r="K689" s="149" t="inlineStr">
        <is>
          <t>Unread</t>
        </is>
      </c>
      <c r="L689" s="152" t="n">
        <v>46176.92764111111</v>
      </c>
      <c r="M689" s="149" t="inlineStr">
        <is>
          <t>69bd55a81daeb0f3b5e0b1a7</t>
        </is>
      </c>
    </row>
    <row r="690">
      <c r="A690" s="149" t="inlineStr">
        <is>
          <t>Project Notos</t>
        </is>
      </c>
      <c r="B690" s="149" t="inlineStr">
        <is>
          <t>1.9.1.1</t>
        </is>
      </c>
      <c r="C690" s="17" t="inlineStr">
        <is>
          <t>Company register</t>
        </is>
      </c>
      <c r="D690" s="25" t="n"/>
      <c r="F690" s="150">
        <f>HYPERLINK("https://app.global.datasite.com/platform/container/696652ec0dc07cc02daa26a0/documents/content/index/69ae98dfd11488dffd89af96","Company register")</f>
        <v/>
      </c>
      <c r="G690" s="149" t="inlineStr">
        <is>
          <t>FOLDER</t>
        </is>
      </c>
      <c r="H690" s="149" t="n"/>
      <c r="I690" s="149" t="inlineStr">
        <is>
          <t>DOWNLOAD</t>
        </is>
      </c>
      <c r="J690" s="149" t="n"/>
      <c r="K690" s="149" t="inlineStr">
        <is>
          <t>Unread</t>
        </is>
      </c>
      <c r="L690" s="152" t="n">
        <v>46176.92764111111</v>
      </c>
      <c r="M690" s="149" t="inlineStr">
        <is>
          <t>69ae98dfd11488dffd89af96</t>
        </is>
      </c>
    </row>
    <row r="691">
      <c r="A691" t="inlineStr">
        <is>
          <t>Project Notos</t>
        </is>
      </c>
      <c r="B691" t="inlineStr">
        <is>
          <t>1.9.1.1.1</t>
        </is>
      </c>
      <c r="C691" s="15" t="inlineStr">
        <is>
          <t>ITTC_ Qichacha Report_260309</t>
        </is>
      </c>
      <c r="D691" s="20" t="inlineStr">
        <is>
          <t>Out-of-Scope</t>
        </is>
      </c>
      <c r="F691" s="151">
        <f>HYPERLINK("https://app.global.datasite.com/webviewer/?projectId=696652ec0dc07cc02daa26a0&amp;documentId=69ae9ff7da8a3a0a19948e5a","ITTC_ Qichacha Report_260309")</f>
        <v/>
      </c>
      <c r="G691" t="inlineStr">
        <is>
          <t>DOCUMENT</t>
        </is>
      </c>
      <c r="H691" t="inlineStr">
        <is>
          <t>pdf</t>
        </is>
      </c>
      <c r="I691" t="inlineStr">
        <is>
          <t>DOWNLOAD</t>
        </is>
      </c>
      <c r="J691" t="n">
        <v>7.67914199</v>
      </c>
      <c r="K691" t="inlineStr">
        <is>
          <t>Unread</t>
        </is>
      </c>
      <c r="L691" s="153" t="n">
        <v>46176.92764111111</v>
      </c>
      <c r="M691" t="inlineStr">
        <is>
          <t>69ae9ff7da8a3a0a19948e5a</t>
        </is>
      </c>
    </row>
    <row r="692">
      <c r="A692" t="inlineStr">
        <is>
          <t>Project Notos</t>
        </is>
      </c>
      <c r="B692" t="inlineStr">
        <is>
          <t>1.9.1.1.2</t>
        </is>
      </c>
      <c r="C692" s="15" t="inlineStr">
        <is>
          <t>ITTC_ Qichacha Report_EN DeepL translation_260903</t>
        </is>
      </c>
      <c r="D692" s="20" t="inlineStr">
        <is>
          <t>Out-of-Scope</t>
        </is>
      </c>
      <c r="F692" s="151">
        <f>HYPERLINK("https://app.global.datasite.com/webviewer/?projectId=696652ec0dc07cc02daa26a0&amp;documentId=69ae9ff7da8a3a0a19948e5b","ITTC_ Qichacha Report_EN DeepL translation_260903")</f>
        <v/>
      </c>
      <c r="G692" t="inlineStr">
        <is>
          <t>DOCUMENT</t>
        </is>
      </c>
      <c r="H692" t="inlineStr">
        <is>
          <t>pdf</t>
        </is>
      </c>
      <c r="I692" t="inlineStr">
        <is>
          <t>DOWNLOAD</t>
        </is>
      </c>
      <c r="J692" t="n">
        <v>7.35084819</v>
      </c>
      <c r="K692" t="inlineStr">
        <is>
          <t>Unread</t>
        </is>
      </c>
      <c r="L692" s="153" t="n">
        <v>46176.92764111111</v>
      </c>
      <c r="M692" t="inlineStr">
        <is>
          <t>69ae9ff7da8a3a0a19948e5b</t>
        </is>
      </c>
    </row>
    <row r="693">
      <c r="A693" t="inlineStr">
        <is>
          <t>Project Notos</t>
        </is>
      </c>
      <c r="B693" t="inlineStr">
        <is>
          <t>1.9.1.1.3</t>
        </is>
      </c>
      <c r="C693" s="15" t="inlineStr">
        <is>
          <t>ITTC_NECIPS Report_CN_260903</t>
        </is>
      </c>
      <c r="D693" s="20" t="inlineStr">
        <is>
          <t>Out-of-Scope</t>
        </is>
      </c>
      <c r="F693" s="151">
        <f>HYPERLINK("https://app.global.datasite.com/webviewer/?projectId=696652ec0dc07cc02daa26a0&amp;documentId=69ae9ff7da8a3a0a19948e5c","ITTC_NECIPS Report_CN_260903")</f>
        <v/>
      </c>
      <c r="G693" t="inlineStr">
        <is>
          <t>DOCUMENT</t>
        </is>
      </c>
      <c r="H693" t="inlineStr">
        <is>
          <t>pdf</t>
        </is>
      </c>
      <c r="I693" t="inlineStr">
        <is>
          <t>DOWNLOAD</t>
        </is>
      </c>
      <c r="J693" t="n">
        <v>19.51117229</v>
      </c>
      <c r="K693" t="inlineStr">
        <is>
          <t>Unread</t>
        </is>
      </c>
      <c r="L693" s="153" t="n">
        <v>46176.92764111111</v>
      </c>
      <c r="M693" t="inlineStr">
        <is>
          <t>69ae9ff7da8a3a0a19948e5c</t>
        </is>
      </c>
    </row>
    <row r="694">
      <c r="A694" t="inlineStr">
        <is>
          <t>Project Notos</t>
        </is>
      </c>
      <c r="B694" t="inlineStr">
        <is>
          <t>1.9.1.1.4</t>
        </is>
      </c>
      <c r="C694" s="15" t="inlineStr">
        <is>
          <t>ITTC_NECIPS Report_EN DeepL translation_260903</t>
        </is>
      </c>
      <c r="D694" s="20" t="inlineStr">
        <is>
          <t>Out-of-Scope</t>
        </is>
      </c>
      <c r="F694" s="151">
        <f>HYPERLINK("https://app.global.datasite.com/webviewer/?projectId=696652ec0dc07cc02daa26a0&amp;documentId=69ae9ff7da8a3a0a19948e5d","ITTC_NECIPS Report_EN DeepL translation_260903")</f>
        <v/>
      </c>
      <c r="G694" t="inlineStr">
        <is>
          <t>DOCUMENT</t>
        </is>
      </c>
      <c r="H694" t="inlineStr">
        <is>
          <t>pdf</t>
        </is>
      </c>
      <c r="I694" t="inlineStr">
        <is>
          <t>DOWNLOAD</t>
        </is>
      </c>
      <c r="J694" t="n">
        <v>18.21745872</v>
      </c>
      <c r="K694" t="inlineStr">
        <is>
          <t>Unread</t>
        </is>
      </c>
      <c r="L694" s="153" t="n">
        <v>46176.92764111111</v>
      </c>
      <c r="M694" t="inlineStr">
        <is>
          <t>69ae9ff7da8a3a0a19948e5d</t>
        </is>
      </c>
    </row>
    <row r="695">
      <c r="A695" t="inlineStr">
        <is>
          <t>Project Notos</t>
        </is>
      </c>
      <c r="B695" t="inlineStr">
        <is>
          <t>1.9.1.1.5</t>
        </is>
      </c>
      <c r="C695" s="15" t="inlineStr">
        <is>
          <t>ITTC_AMR Archive</t>
        </is>
      </c>
      <c r="D695" s="20" t="inlineStr">
        <is>
          <t>Out-of-Scope</t>
        </is>
      </c>
      <c r="F695" s="151">
        <f>HYPERLINK("https://app.global.datasite.com/webviewer/?projectId=696652ec0dc07cc02daa26a0&amp;documentId=69c9f8815bd753d439679488","ITTC_AMR Archive")</f>
        <v/>
      </c>
      <c r="G695" t="inlineStr">
        <is>
          <t>DOCUMENT</t>
        </is>
      </c>
      <c r="H695" t="inlineStr">
        <is>
          <t>pdf</t>
        </is>
      </c>
      <c r="I695" t="inlineStr">
        <is>
          <t>DOWNLOAD</t>
        </is>
      </c>
      <c r="J695" t="n">
        <v>45.92917251</v>
      </c>
      <c r="K695" t="inlineStr">
        <is>
          <t>Unread</t>
        </is>
      </c>
      <c r="L695" s="153" t="n">
        <v>46176.92764111111</v>
      </c>
      <c r="M695" t="inlineStr">
        <is>
          <t>69c9f8815bd753d439679488</t>
        </is>
      </c>
    </row>
    <row r="696">
      <c r="A696" s="149" t="inlineStr">
        <is>
          <t>Project Notos</t>
        </is>
      </c>
      <c r="B696" s="149" t="inlineStr">
        <is>
          <t>1.9.1.2</t>
        </is>
      </c>
      <c r="C696" s="17" t="inlineStr">
        <is>
          <t>Articles of association</t>
        </is>
      </c>
      <c r="D696" s="25" t="n"/>
      <c r="F696" s="150">
        <f>HYPERLINK("https://app.global.datasite.com/platform/container/696652ec0dc07cc02daa26a0/documents/content/index/69bd1bdf76174ddbd7b69b62","Articles of association")</f>
        <v/>
      </c>
      <c r="G696" s="149" t="inlineStr">
        <is>
          <t>FOLDER</t>
        </is>
      </c>
      <c r="H696" s="149" t="n"/>
      <c r="I696" s="149" t="inlineStr">
        <is>
          <t>DOWNLOAD</t>
        </is>
      </c>
      <c r="J696" s="149" t="n"/>
      <c r="K696" s="149" t="inlineStr">
        <is>
          <t>Unread</t>
        </is>
      </c>
      <c r="L696" s="152" t="n">
        <v>46176.92764111111</v>
      </c>
      <c r="M696" s="149" t="inlineStr">
        <is>
          <t>69bd1bdf76174ddbd7b69b62</t>
        </is>
      </c>
    </row>
    <row r="697">
      <c r="A697" t="inlineStr">
        <is>
          <t>Project Notos</t>
        </is>
      </c>
      <c r="B697" t="inlineStr">
        <is>
          <t>1.9.1.2.1</t>
        </is>
      </c>
      <c r="C697" s="15" t="inlineStr">
        <is>
          <t>ITTC_AoA_241218</t>
        </is>
      </c>
      <c r="D697" s="20" t="inlineStr">
        <is>
          <t>Out-of-Scope</t>
        </is>
      </c>
      <c r="F697" s="151">
        <f>HYPERLINK("https://app.global.datasite.com/webviewer/?projectId=696652ec0dc07cc02daa26a0&amp;documentId=69bd1be71daeb0f3b5e08305","ITTC_AoA_241218")</f>
        <v/>
      </c>
      <c r="G697" t="inlineStr">
        <is>
          <t>DOCUMENT</t>
        </is>
      </c>
      <c r="H697" t="inlineStr">
        <is>
          <t>pdf</t>
        </is>
      </c>
      <c r="I697" t="inlineStr">
        <is>
          <t>DOWNLOAD</t>
        </is>
      </c>
      <c r="J697" t="n">
        <v>0.53632259</v>
      </c>
      <c r="K697" t="inlineStr">
        <is>
          <t>Unread</t>
        </is>
      </c>
      <c r="L697" s="153" t="n">
        <v>46176.92764111111</v>
      </c>
      <c r="M697" t="inlineStr">
        <is>
          <t>69bd1be71daeb0f3b5e08305</t>
        </is>
      </c>
    </row>
    <row r="698">
      <c r="A698" s="149" t="inlineStr">
        <is>
          <t>Project Notos</t>
        </is>
      </c>
      <c r="B698" s="149" t="inlineStr">
        <is>
          <t>1.9.1.3</t>
        </is>
      </c>
      <c r="C698" s="17" t="inlineStr">
        <is>
          <t>Shareholder resolutions</t>
        </is>
      </c>
      <c r="D698" s="25" t="n"/>
      <c r="F698" s="150">
        <f>HYPERLINK("https://app.global.datasite.com/platform/container/696652ec0dc07cc02daa26a0/documents/content/index/69bd55e50263c4fdde7359c4","Shareholder resolutions")</f>
        <v/>
      </c>
      <c r="G698" s="149" t="inlineStr">
        <is>
          <t>FOLDER</t>
        </is>
      </c>
      <c r="H698" s="149" t="n"/>
      <c r="I698" s="149" t="inlineStr">
        <is>
          <t>DOWNLOAD</t>
        </is>
      </c>
      <c r="J698" s="149" t="n"/>
      <c r="K698" s="149" t="inlineStr">
        <is>
          <t>Unread</t>
        </is>
      </c>
      <c r="L698" s="152" t="n">
        <v>46176.92764111111</v>
      </c>
      <c r="M698" s="149" t="inlineStr">
        <is>
          <t>69bd55e50263c4fdde7359c4</t>
        </is>
      </c>
    </row>
    <row r="699">
      <c r="A699" t="inlineStr">
        <is>
          <t>Project Notos</t>
        </is>
      </c>
      <c r="B699" t="inlineStr">
        <is>
          <t>1.9.1.3.1</t>
        </is>
      </c>
      <c r="C699" s="15" t="inlineStr">
        <is>
          <t>Shareholder Decision on Change of Legal Representative</t>
        </is>
      </c>
      <c r="D699" s="20" t="inlineStr">
        <is>
          <t>Out-of-Scope</t>
        </is>
      </c>
      <c r="F699" s="151">
        <f>HYPERLINK("https://app.global.datasite.com/webviewer/?projectId=696652ec0dc07cc02daa26a0&amp;documentId=69c9ff3a8014561b8619171d","Shareholder Decision on Change of Legal Representative")</f>
        <v/>
      </c>
      <c r="G699" t="inlineStr">
        <is>
          <t>DOCUMENT</t>
        </is>
      </c>
      <c r="H699" t="inlineStr">
        <is>
          <t>pdf</t>
        </is>
      </c>
      <c r="I699" t="inlineStr">
        <is>
          <t>DOWNLOAD</t>
        </is>
      </c>
      <c r="J699" t="n">
        <v>0.69111824</v>
      </c>
      <c r="K699" t="inlineStr">
        <is>
          <t>Unread</t>
        </is>
      </c>
      <c r="L699" s="153" t="n">
        <v>46176.92764111111</v>
      </c>
      <c r="M699" t="inlineStr">
        <is>
          <t>69c9ff3a8014561b8619171d</t>
        </is>
      </c>
    </row>
    <row r="700">
      <c r="A700" t="inlineStr">
        <is>
          <t>Project Notos</t>
        </is>
      </c>
      <c r="B700" t="inlineStr">
        <is>
          <t>1.9.1.3.2</t>
        </is>
      </c>
      <c r="C700" s="15" t="inlineStr">
        <is>
          <t>Shareholder Decision on Corporate Change in 2022</t>
        </is>
      </c>
      <c r="D700" s="20" t="inlineStr">
        <is>
          <t>Out-of-Scope</t>
        </is>
      </c>
      <c r="F700" s="151">
        <f>HYPERLINK("https://app.global.datasite.com/webviewer/?projectId=696652ec0dc07cc02daa26a0&amp;documentId=69c9ff3a8014561b8619171e","Shareholder Decision on Corporate Change in 2022")</f>
        <v/>
      </c>
      <c r="G700" t="inlineStr">
        <is>
          <t>DOCUMENT</t>
        </is>
      </c>
      <c r="H700" t="inlineStr">
        <is>
          <t>pdf</t>
        </is>
      </c>
      <c r="I700" t="inlineStr">
        <is>
          <t>DOWNLOAD</t>
        </is>
      </c>
      <c r="J700" t="n">
        <v>0.044981</v>
      </c>
      <c r="K700" t="inlineStr">
        <is>
          <t>Unread</t>
        </is>
      </c>
      <c r="L700" s="153" t="n">
        <v>46176.92764111111</v>
      </c>
      <c r="M700" t="inlineStr">
        <is>
          <t>69c9ff3a8014561b8619171e</t>
        </is>
      </c>
    </row>
    <row r="701">
      <c r="A701" s="149" t="inlineStr">
        <is>
          <t>Project Notos</t>
        </is>
      </c>
      <c r="B701" s="149" t="inlineStr">
        <is>
          <t>1.9.1.4</t>
        </is>
      </c>
      <c r="C701" s="17" t="inlineStr">
        <is>
          <t>Miscellaneous</t>
        </is>
      </c>
      <c r="D701" s="25" t="n"/>
      <c r="F701" s="150">
        <f>HYPERLINK("https://app.global.datasite.com/platform/container/696652ec0dc07cc02daa26a0/documents/content/index/69bd55e50263c4fdde7359c7","Miscellaneous")</f>
        <v/>
      </c>
      <c r="G701" s="149" t="inlineStr">
        <is>
          <t>FOLDER</t>
        </is>
      </c>
      <c r="H701" s="149" t="n"/>
      <c r="I701" s="149" t="inlineStr">
        <is>
          <t>DOWNLOAD</t>
        </is>
      </c>
      <c r="J701" s="149" t="n"/>
      <c r="K701" s="149" t="inlineStr">
        <is>
          <t>Unread</t>
        </is>
      </c>
      <c r="L701" s="152" t="n">
        <v>46176.92764111111</v>
      </c>
      <c r="M701" s="149" t="inlineStr">
        <is>
          <t>69bd55e50263c4fdde7359c7</t>
        </is>
      </c>
    </row>
    <row r="702">
      <c r="A702" s="149" t="inlineStr">
        <is>
          <t>Project Notos</t>
        </is>
      </c>
      <c r="B702" s="149" t="inlineStr">
        <is>
          <t>1.9.1.4.1</t>
        </is>
      </c>
      <c r="C702" s="17" t="inlineStr">
        <is>
          <t>Business License</t>
        </is>
      </c>
      <c r="D702" s="25" t="n"/>
      <c r="F702" s="150">
        <f>HYPERLINK("https://app.global.datasite.com/platform/container/696652ec0dc07cc02daa26a0/documents/content/index/698cd937fb09fe05f05345c7","Business License")</f>
        <v/>
      </c>
      <c r="G702" s="149" t="inlineStr">
        <is>
          <t>FOLDER</t>
        </is>
      </c>
      <c r="H702" s="149" t="n"/>
      <c r="I702" s="149" t="inlineStr">
        <is>
          <t>DOWNLOAD</t>
        </is>
      </c>
      <c r="J702" s="149" t="n"/>
      <c r="K702" s="149" t="inlineStr">
        <is>
          <t>Unread</t>
        </is>
      </c>
      <c r="L702" s="152" t="n">
        <v>46176.92764111111</v>
      </c>
      <c r="M702" s="149" t="inlineStr">
        <is>
          <t>698cd937fb09fe05f05345c7</t>
        </is>
      </c>
    </row>
    <row r="703">
      <c r="A703" t="inlineStr">
        <is>
          <t>Project Notos</t>
        </is>
      </c>
      <c r="B703" t="inlineStr">
        <is>
          <t>1.9.1.4.1.1</t>
        </is>
      </c>
      <c r="C703" s="15" t="inlineStr">
        <is>
          <t>Business License of Innerio Changsha</t>
        </is>
      </c>
      <c r="D703" s="20" t="inlineStr">
        <is>
          <t>Out-of-Scope</t>
        </is>
      </c>
      <c r="F703" s="151">
        <f>HYPERLINK("https://app.global.datasite.com/webviewer/?projectId=696652ec0dc07cc02daa26a0&amp;documentId=698cd948e08904dbb6081d10","Business License of Innerio Changsha")</f>
        <v/>
      </c>
      <c r="G703" t="inlineStr">
        <is>
          <t>DOCUMENT</t>
        </is>
      </c>
      <c r="H703" t="inlineStr">
        <is>
          <t>pdf</t>
        </is>
      </c>
      <c r="I703" t="inlineStr">
        <is>
          <t>DOWNLOAD</t>
        </is>
      </c>
      <c r="J703" t="n">
        <v>1.22472381</v>
      </c>
      <c r="K703" t="inlineStr">
        <is>
          <t>Unread</t>
        </is>
      </c>
      <c r="L703" s="153" t="n">
        <v>46176.92764111111</v>
      </c>
      <c r="M703" t="inlineStr">
        <is>
          <t>698cd948e08904dbb6081d10</t>
        </is>
      </c>
    </row>
    <row r="704">
      <c r="A704" t="inlineStr">
        <is>
          <t>Project Notos</t>
        </is>
      </c>
      <c r="B704" t="inlineStr">
        <is>
          <t>1.9.1.4.1.2</t>
        </is>
      </c>
      <c r="C704" s="15" t="inlineStr">
        <is>
          <t>Business License - Duplicate</t>
        </is>
      </c>
      <c r="D704" s="20" t="inlineStr">
        <is>
          <t>Out-of-Scope</t>
        </is>
      </c>
      <c r="F704" s="151">
        <f>HYPERLINK("https://app.global.datasite.com/webviewer/?projectId=696652ec0dc07cc02daa26a0&amp;documentId=69c9fecb8fcb7339a240f109","Business License - Duplicate")</f>
        <v/>
      </c>
      <c r="G704" t="inlineStr">
        <is>
          <t>DOCUMENT</t>
        </is>
      </c>
      <c r="H704" t="inlineStr">
        <is>
          <t>pdf</t>
        </is>
      </c>
      <c r="I704" t="inlineStr">
        <is>
          <t>DOWNLOAD</t>
        </is>
      </c>
      <c r="J704" t="n">
        <v>0.49461174</v>
      </c>
      <c r="K704" t="inlineStr">
        <is>
          <t>Unread</t>
        </is>
      </c>
      <c r="L704" s="153" t="n">
        <v>46176.92764111111</v>
      </c>
      <c r="M704" t="inlineStr">
        <is>
          <t>69c9fecb8fcb7339a240f109</t>
        </is>
      </c>
    </row>
    <row r="705">
      <c r="A705" t="inlineStr">
        <is>
          <t>Project Notos</t>
        </is>
      </c>
      <c r="B705" t="inlineStr">
        <is>
          <t>1.9.1.4.1.3</t>
        </is>
      </c>
      <c r="C705" s="15" t="inlineStr">
        <is>
          <t>Business License - Original</t>
        </is>
      </c>
      <c r="D705" s="20" t="inlineStr">
        <is>
          <t>Out-of-Scope</t>
        </is>
      </c>
      <c r="F705" s="151">
        <f>HYPERLINK("https://app.global.datasite.com/webviewer/?projectId=696652ec0dc07cc02daa26a0&amp;documentId=69c9fecb8fcb7339a240f10a","Business License - Original")</f>
        <v/>
      </c>
      <c r="G705" t="inlineStr">
        <is>
          <t>DOCUMENT</t>
        </is>
      </c>
      <c r="H705" t="inlineStr">
        <is>
          <t>pdf</t>
        </is>
      </c>
      <c r="I705" t="inlineStr">
        <is>
          <t>DOWNLOAD</t>
        </is>
      </c>
      <c r="J705" t="n">
        <v>0.42236042</v>
      </c>
      <c r="K705" t="inlineStr">
        <is>
          <t>Unread</t>
        </is>
      </c>
      <c r="L705" s="153" t="n">
        <v>46176.92764111111</v>
      </c>
      <c r="M705" t="inlineStr">
        <is>
          <t>69c9fecb8fcb7339a240f10a</t>
        </is>
      </c>
    </row>
    <row r="706">
      <c r="A706" s="149" t="inlineStr">
        <is>
          <t>Project Notos</t>
        </is>
      </c>
      <c r="B706" s="149" t="inlineStr">
        <is>
          <t>1.9.1.5</t>
        </is>
      </c>
      <c r="C706" s="17" t="inlineStr">
        <is>
          <t>Company change</t>
        </is>
      </c>
      <c r="D706" s="25" t="n"/>
      <c r="F706" s="150">
        <f>HYPERLINK("https://app.global.datasite.com/platform/container/696652ec0dc07cc02daa26a0/documents/content/index/69c9fcb08afd4a56cbcb6c3d","Company change")</f>
        <v/>
      </c>
      <c r="G706" s="149" t="inlineStr">
        <is>
          <t>FOLDER</t>
        </is>
      </c>
      <c r="H706" s="149" t="n"/>
      <c r="I706" s="149" t="inlineStr">
        <is>
          <t>DOWNLOAD</t>
        </is>
      </c>
      <c r="J706" s="149" t="n"/>
      <c r="K706" s="149" t="inlineStr">
        <is>
          <t>Unread</t>
        </is>
      </c>
      <c r="L706" s="152" t="n">
        <v>46176.92764111111</v>
      </c>
      <c r="M706" s="149" t="inlineStr">
        <is>
          <t>69c9fcb08afd4a56cbcb6c3d</t>
        </is>
      </c>
    </row>
    <row r="707">
      <c r="A707" s="149" t="inlineStr">
        <is>
          <t>Project Notos</t>
        </is>
      </c>
      <c r="B707" s="149" t="inlineStr">
        <is>
          <t>1.9.1.5.1</t>
        </is>
      </c>
      <c r="C707" s="17" t="inlineStr">
        <is>
          <t>Change of Legal Representative</t>
        </is>
      </c>
      <c r="D707" s="25" t="n"/>
      <c r="F707" s="150">
        <f>HYPERLINK("https://app.global.datasite.com/platform/container/696652ec0dc07cc02daa26a0/documents/content/index/69c9fcc68bca9003549a0cbb","Change of Legal Representative")</f>
        <v/>
      </c>
      <c r="G707" s="149" t="inlineStr">
        <is>
          <t>FOLDER</t>
        </is>
      </c>
      <c r="H707" s="149" t="n"/>
      <c r="I707" s="149" t="inlineStr">
        <is>
          <t>DOWNLOAD</t>
        </is>
      </c>
      <c r="J707" s="149" t="n"/>
      <c r="K707" s="149" t="inlineStr">
        <is>
          <t>Unread</t>
        </is>
      </c>
      <c r="L707" s="152" t="n">
        <v>46176.92764111111</v>
      </c>
      <c r="M707" s="149" t="inlineStr">
        <is>
          <t>69c9fcc68bca9003549a0cbb</t>
        </is>
      </c>
    </row>
    <row r="708">
      <c r="A708" t="inlineStr">
        <is>
          <t>Project Notos</t>
        </is>
      </c>
      <c r="B708" t="inlineStr">
        <is>
          <t>1.9.1.5.1.1</t>
        </is>
      </c>
      <c r="C708" s="15" t="inlineStr">
        <is>
          <t>Shareholder Decision on Change of Legal Representative</t>
        </is>
      </c>
      <c r="D708" s="20" t="inlineStr">
        <is>
          <t>Out-of-Scope</t>
        </is>
      </c>
      <c r="F708" s="151">
        <f>HYPERLINK("https://app.global.datasite.com/webviewer/?projectId=696652ec0dc07cc02daa26a0&amp;documentId=69c9fcfd8014561b8619170d","Shareholder Decision on Change of Legal Representative")</f>
        <v/>
      </c>
      <c r="G708" t="inlineStr">
        <is>
          <t>DOCUMENT</t>
        </is>
      </c>
      <c r="H708" t="inlineStr">
        <is>
          <t>pdf</t>
        </is>
      </c>
      <c r="I708" t="inlineStr">
        <is>
          <t>DOWNLOAD</t>
        </is>
      </c>
      <c r="J708" t="n">
        <v>0.68157958</v>
      </c>
      <c r="K708" t="inlineStr">
        <is>
          <t>Unread</t>
        </is>
      </c>
      <c r="L708" s="153" t="n">
        <v>46176.92764111111</v>
      </c>
      <c r="M708" t="inlineStr">
        <is>
          <t>69c9fcfd8014561b8619170d</t>
        </is>
      </c>
    </row>
    <row r="709">
      <c r="A709" t="inlineStr">
        <is>
          <t>Project Notos</t>
        </is>
      </c>
      <c r="B709" t="inlineStr">
        <is>
          <t>1.9.1.5.1.2</t>
        </is>
      </c>
      <c r="C709" s="15" t="inlineStr">
        <is>
          <t>Appointment Letter for the New Legal Representative (Executive Director)</t>
        </is>
      </c>
      <c r="D709" s="20" t="inlineStr">
        <is>
          <t>Out-of-Scope</t>
        </is>
      </c>
      <c r="F709" s="151">
        <f>HYPERLINK("https://app.global.datasite.com/webviewer/?projectId=696652ec0dc07cc02daa26a0&amp;documentId=69c9fcfd8014561b8619170e","Appointment Letter for the New Legal Representative (Executive Director)")</f>
        <v/>
      </c>
      <c r="G709" t="inlineStr">
        <is>
          <t>DOCUMENT</t>
        </is>
      </c>
      <c r="H709" t="inlineStr">
        <is>
          <t>pdf</t>
        </is>
      </c>
      <c r="I709" t="inlineStr">
        <is>
          <t>DOWNLOAD</t>
        </is>
      </c>
      <c r="J709" t="n">
        <v>0.30552673</v>
      </c>
      <c r="K709" t="inlineStr">
        <is>
          <t>Unread</t>
        </is>
      </c>
      <c r="L709" s="153" t="n">
        <v>46176.92764111111</v>
      </c>
      <c r="M709" t="inlineStr">
        <is>
          <t>69c9fcfd8014561b8619170e</t>
        </is>
      </c>
    </row>
    <row r="710">
      <c r="A710" t="inlineStr">
        <is>
          <t>Project Notos</t>
        </is>
      </c>
      <c r="B710" t="inlineStr">
        <is>
          <t>1.9.1.5.1.3</t>
        </is>
      </c>
      <c r="C710" s="15" t="inlineStr">
        <is>
          <t>Filing Form for Change of Legal Representative</t>
        </is>
      </c>
      <c r="D710" s="20" t="inlineStr">
        <is>
          <t>Out-of-Scope</t>
        </is>
      </c>
      <c r="F710" s="151">
        <f>HYPERLINK("https://app.global.datasite.com/webviewer/?projectId=696652ec0dc07cc02daa26a0&amp;documentId=69c9fcfd8014561b8619170f","Filing Form for Change of Legal Representative")</f>
        <v/>
      </c>
      <c r="G710" t="inlineStr">
        <is>
          <t>DOCUMENT</t>
        </is>
      </c>
      <c r="H710" t="inlineStr">
        <is>
          <t>pdf</t>
        </is>
      </c>
      <c r="I710" t="inlineStr">
        <is>
          <t>DOWNLOAD</t>
        </is>
      </c>
      <c r="J710" t="n">
        <v>0.20554828</v>
      </c>
      <c r="K710" t="inlineStr">
        <is>
          <t>Unread</t>
        </is>
      </c>
      <c r="L710" s="153" t="n">
        <v>46176.92764111111</v>
      </c>
      <c r="M710" t="inlineStr">
        <is>
          <t>69c9fcfd8014561b8619170f</t>
        </is>
      </c>
    </row>
    <row r="711">
      <c r="A711" s="149" t="inlineStr">
        <is>
          <t>Project Notos</t>
        </is>
      </c>
      <c r="B711" s="149" t="inlineStr">
        <is>
          <t>1.9.1.5.2</t>
        </is>
      </c>
      <c r="C711" s="17" t="inlineStr">
        <is>
          <t>Company Change in 2022</t>
        </is>
      </c>
      <c r="D711" s="25" t="n"/>
      <c r="F711" s="150">
        <f>HYPERLINK("https://app.global.datasite.com/platform/container/696652ec0dc07cc02daa26a0/documents/content/index/69c9fcd58afd4a56cbcb6c45","Company Change in 2022")</f>
        <v/>
      </c>
      <c r="G711" s="149" t="inlineStr">
        <is>
          <t>FOLDER</t>
        </is>
      </c>
      <c r="H711" s="149" t="n"/>
      <c r="I711" s="149" t="inlineStr">
        <is>
          <t>DOWNLOAD</t>
        </is>
      </c>
      <c r="J711" s="149" t="n"/>
      <c r="K711" s="149" t="inlineStr">
        <is>
          <t>Unread</t>
        </is>
      </c>
      <c r="L711" s="152" t="n">
        <v>46176.92764111111</v>
      </c>
      <c r="M711" s="149" t="inlineStr">
        <is>
          <t>69c9fcd58afd4a56cbcb6c45</t>
        </is>
      </c>
    </row>
    <row r="712">
      <c r="A712" t="inlineStr">
        <is>
          <t>Project Notos</t>
        </is>
      </c>
      <c r="B712" t="inlineStr">
        <is>
          <t>1.9.1.5.2.1</t>
        </is>
      </c>
      <c r="C712" s="15" t="inlineStr">
        <is>
          <t>Shareholder Decision on Corporate Change in 2022</t>
        </is>
      </c>
      <c r="D712" s="20" t="inlineStr">
        <is>
          <t>Out-of-Scope</t>
        </is>
      </c>
      <c r="F712" s="151">
        <f>HYPERLINK("https://app.global.datasite.com/webviewer/?projectId=696652ec0dc07cc02daa26a0&amp;documentId=69c9fd9af2516408b589fd40","Shareholder Decision on Corporate Change in 2022")</f>
        <v/>
      </c>
      <c r="G712" t="inlineStr">
        <is>
          <t>DOCUMENT</t>
        </is>
      </c>
      <c r="H712" t="inlineStr">
        <is>
          <t>pdf</t>
        </is>
      </c>
      <c r="I712" t="inlineStr">
        <is>
          <t>DOWNLOAD</t>
        </is>
      </c>
      <c r="J712" t="n">
        <v>0.04477405</v>
      </c>
      <c r="K712" t="inlineStr">
        <is>
          <t>Unread</t>
        </is>
      </c>
      <c r="L712" s="153" t="n">
        <v>46176.92764111111</v>
      </c>
      <c r="M712" t="inlineStr">
        <is>
          <t>69c9fd9af2516408b589fd40</t>
        </is>
      </c>
    </row>
    <row r="713" s="148">
      <c r="A713" t="inlineStr">
        <is>
          <t>Project Notos</t>
        </is>
      </c>
      <c r="B713" t="inlineStr">
        <is>
          <t>1.9.1.5.2.2</t>
        </is>
      </c>
      <c r="C713" s="15" t="inlineStr">
        <is>
          <t>Amendment of AoA in 2022</t>
        </is>
      </c>
      <c r="D713" s="20" t="inlineStr">
        <is>
          <t>Out-of-Scope</t>
        </is>
      </c>
      <c r="F713" s="151">
        <f>HYPERLINK("https://app.global.datasite.com/webviewer/?projectId=696652ec0dc07cc02daa26a0&amp;documentId=69c9fd9af2516408b589fd41","Amendment of AoA in 2022")</f>
        <v/>
      </c>
      <c r="G713" t="inlineStr">
        <is>
          <t>DOCUMENT</t>
        </is>
      </c>
      <c r="H713" t="inlineStr">
        <is>
          <t>pdf</t>
        </is>
      </c>
      <c r="I713" t="inlineStr">
        <is>
          <t>DOWNLOAD</t>
        </is>
      </c>
      <c r="J713" t="n">
        <v>0.28665065</v>
      </c>
      <c r="K713" t="inlineStr">
        <is>
          <t>Unread</t>
        </is>
      </c>
      <c r="L713" s="153" t="n">
        <v>46176.92764111111</v>
      </c>
      <c r="M713" t="inlineStr">
        <is>
          <t>69c9fd9af2516408b589fd41</t>
        </is>
      </c>
    </row>
    <row r="714" s="148">
      <c r="A714" s="149" t="inlineStr">
        <is>
          <t>Project Notos</t>
        </is>
      </c>
      <c r="B714" s="149" t="inlineStr">
        <is>
          <t>1.9.1.5.3</t>
        </is>
      </c>
      <c r="C714" s="17" t="inlineStr">
        <is>
          <t>Suspension of Business</t>
        </is>
      </c>
      <c r="D714" s="25" t="n"/>
      <c r="F714" s="150">
        <f>HYPERLINK("https://app.global.datasite.com/platform/container/696652ec0dc07cc02daa26a0/documents/content/index/69c9fcec851a3033e1303ef0","Suspension of Business")</f>
        <v/>
      </c>
      <c r="G714" s="149" t="inlineStr">
        <is>
          <t>FOLDER</t>
        </is>
      </c>
      <c r="H714" s="149" t="n"/>
      <c r="I714" s="149" t="inlineStr">
        <is>
          <t>DOWNLOAD</t>
        </is>
      </c>
      <c r="J714" s="149" t="n"/>
      <c r="K714" s="149" t="inlineStr">
        <is>
          <t>Unread</t>
        </is>
      </c>
      <c r="L714" s="152" t="n">
        <v>46176.92764111111</v>
      </c>
      <c r="M714" s="149" t="inlineStr">
        <is>
          <t>69c9fcec851a3033e1303ef0</t>
        </is>
      </c>
    </row>
    <row r="715" s="148">
      <c r="A715" t="inlineStr">
        <is>
          <t>Project Notos</t>
        </is>
      </c>
      <c r="B715" t="inlineStr">
        <is>
          <t>1.9.1.5.3.1</t>
        </is>
      </c>
      <c r="C715" s="15" t="inlineStr">
        <is>
          <t>Filing Form for Application of Suspension of Business</t>
        </is>
      </c>
      <c r="D715" s="20" t="inlineStr">
        <is>
          <t>Out-of-Scope</t>
        </is>
      </c>
      <c r="F715" s="151">
        <f>HYPERLINK("https://app.global.datasite.com/webviewer/?projectId=696652ec0dc07cc02daa26a0&amp;documentId=69c9fdb18fcb7339a240f101","Filing Form for Application of Suspension of Business")</f>
        <v/>
      </c>
      <c r="G715" t="inlineStr">
        <is>
          <t>DOCUMENT</t>
        </is>
      </c>
      <c r="H715" t="inlineStr">
        <is>
          <t>pdf</t>
        </is>
      </c>
      <c r="I715" t="inlineStr">
        <is>
          <t>DOWNLOAD</t>
        </is>
      </c>
      <c r="J715" t="n">
        <v>1.01576519</v>
      </c>
      <c r="K715" t="inlineStr">
        <is>
          <t>Unread</t>
        </is>
      </c>
      <c r="L715" s="153" t="n">
        <v>46176.92764111111</v>
      </c>
      <c r="M715" t="inlineStr">
        <is>
          <t>69c9fdb18fcb7339a240f101</t>
        </is>
      </c>
    </row>
    <row r="716">
      <c r="A716" t="inlineStr">
        <is>
          <t>Project Notos</t>
        </is>
      </c>
      <c r="B716" t="inlineStr">
        <is>
          <t>1.9.1.5.3.2</t>
        </is>
      </c>
      <c r="C716" s="15" t="inlineStr">
        <is>
          <t>Public Notice Termination of Suspension of Business</t>
        </is>
      </c>
      <c r="D716" s="20" t="inlineStr">
        <is>
          <t>Out-of-Scope</t>
        </is>
      </c>
      <c r="F716" s="151">
        <f>HYPERLINK("https://app.global.datasite.com/webviewer/?projectId=696652ec0dc07cc02daa26a0&amp;documentId=69c9fdb18fcb7339a240f102","Public Notice Termination of Suspension of Business")</f>
        <v/>
      </c>
      <c r="G716" t="inlineStr">
        <is>
          <t>DOCUMENT</t>
        </is>
      </c>
      <c r="H716" t="inlineStr">
        <is>
          <t>pdf</t>
        </is>
      </c>
      <c r="I716" t="inlineStr">
        <is>
          <t>DOWNLOAD</t>
        </is>
      </c>
      <c r="J716" t="n">
        <v>0.10608863</v>
      </c>
      <c r="K716" t="inlineStr">
        <is>
          <t>Unread</t>
        </is>
      </c>
      <c r="L716" s="153" t="n">
        <v>46176.92764111111</v>
      </c>
      <c r="M716" t="inlineStr">
        <is>
          <t>69c9fdb18fcb7339a240f102</t>
        </is>
      </c>
    </row>
    <row r="717">
      <c r="A717" t="inlineStr">
        <is>
          <t>Project Notos</t>
        </is>
      </c>
      <c r="B717" t="inlineStr">
        <is>
          <t>1.9.1.5.3.3</t>
        </is>
      </c>
      <c r="C717" s="15" t="inlineStr">
        <is>
          <t>Receipt for Filing of Suspension of Business</t>
        </is>
      </c>
      <c r="D717" s="20" t="inlineStr">
        <is>
          <t>Out-of-Scope</t>
        </is>
      </c>
      <c r="F717" s="151">
        <f>HYPERLINK("https://app.global.datasite.com/webviewer/?projectId=696652ec0dc07cc02daa26a0&amp;documentId=69c9fdb18fcb7339a240f103","Receipt for Filing of Suspension of Business")</f>
        <v/>
      </c>
      <c r="G717" t="inlineStr">
        <is>
          <t>DOCUMENT</t>
        </is>
      </c>
      <c r="H717" t="inlineStr">
        <is>
          <t>pdf</t>
        </is>
      </c>
      <c r="I717" t="inlineStr">
        <is>
          <t>DOWNLOAD</t>
        </is>
      </c>
      <c r="J717" t="n">
        <v>0.65432262</v>
      </c>
      <c r="K717" t="inlineStr">
        <is>
          <t>Unread</t>
        </is>
      </c>
      <c r="L717" s="153" t="n">
        <v>46176.92764111111</v>
      </c>
      <c r="M717" t="inlineStr">
        <is>
          <t>69c9fdb18fcb7339a240f103</t>
        </is>
      </c>
    </row>
    <row r="718">
      <c r="A718" t="inlineStr">
        <is>
          <t>Project Notos</t>
        </is>
      </c>
      <c r="B718" t="inlineStr">
        <is>
          <t>1.9.1.5.3.4</t>
        </is>
      </c>
      <c r="C718" s="15" t="inlineStr">
        <is>
          <t>Statement Letter for Application of Suspension of Business</t>
        </is>
      </c>
      <c r="D718" s="20" t="inlineStr">
        <is>
          <t>Out-of-Scope</t>
        </is>
      </c>
      <c r="F718" s="151">
        <f>HYPERLINK("https://app.global.datasite.com/webviewer/?projectId=696652ec0dc07cc02daa26a0&amp;documentId=69c9fdb18fcb7339a240f104","Statement Letter for Application of Suspension of Business")</f>
        <v/>
      </c>
      <c r="G718" t="inlineStr">
        <is>
          <t>DOCUMENT</t>
        </is>
      </c>
      <c r="H718" t="inlineStr">
        <is>
          <t>pdf</t>
        </is>
      </c>
      <c r="I718" t="inlineStr">
        <is>
          <t>DOWNLOAD</t>
        </is>
      </c>
      <c r="J718" t="n">
        <v>0.0642271</v>
      </c>
      <c r="K718" t="inlineStr">
        <is>
          <t>Unread</t>
        </is>
      </c>
      <c r="L718" s="153" t="n">
        <v>46176.92764111111</v>
      </c>
      <c r="M718" t="inlineStr">
        <is>
          <t>69c9fdb18fcb7339a240f104</t>
        </is>
      </c>
    </row>
    <row r="719">
      <c r="A719" s="149" t="inlineStr">
        <is>
          <t>Project Notos</t>
        </is>
      </c>
      <c r="B719" s="149" t="inlineStr">
        <is>
          <t>1.10</t>
        </is>
      </c>
      <c r="C719" s="17" t="inlineStr">
        <is>
          <t>WMA Weinviertler Mechatronik Akademie GmbH (WMA)</t>
        </is>
      </c>
      <c r="D719" s="25" t="n"/>
      <c r="F719" s="150">
        <f>HYPERLINK("https://app.global.datasite.com/platform/container/696652ec0dc07cc02daa26a0/documents/content/index/69a023d00b057a2e2ad5ba0a","WMA Weinviertler Mechatronik Akademie GmbH (WMA)")</f>
        <v/>
      </c>
      <c r="G719" s="149" t="inlineStr">
        <is>
          <t>FOLDER</t>
        </is>
      </c>
      <c r="H719" s="149" t="n"/>
      <c r="I719" s="149" t="inlineStr">
        <is>
          <t>DOWNLOAD</t>
        </is>
      </c>
      <c r="J719" s="149" t="n"/>
      <c r="K719" s="149" t="inlineStr">
        <is>
          <t>Unread</t>
        </is>
      </c>
      <c r="L719" s="152" t="n">
        <v>46176.92764111111</v>
      </c>
      <c r="M719" s="149" t="inlineStr">
        <is>
          <t>69a023d00b057a2e2ad5ba0a</t>
        </is>
      </c>
    </row>
    <row r="720">
      <c r="A720" s="149" t="inlineStr">
        <is>
          <t>Project Notos</t>
        </is>
      </c>
      <c r="B720" s="149" t="inlineStr">
        <is>
          <t>1.10.1</t>
        </is>
      </c>
      <c r="C720" s="17" t="inlineStr">
        <is>
          <t>Corporate</t>
        </is>
      </c>
      <c r="D720" s="25" t="n"/>
      <c r="F720" s="150">
        <f>HYPERLINK("https://app.global.datasite.com/platform/container/696652ec0dc07cc02daa26a0/documents/content/index/69bd56157f48566a39cf90ee","Corporate")</f>
        <v/>
      </c>
      <c r="G720" s="149" t="inlineStr">
        <is>
          <t>FOLDER</t>
        </is>
      </c>
      <c r="H720" s="149" t="n"/>
      <c r="I720" s="149" t="inlineStr">
        <is>
          <t>DOWNLOAD</t>
        </is>
      </c>
      <c r="J720" s="149" t="n"/>
      <c r="K720" s="149" t="inlineStr">
        <is>
          <t>Unread</t>
        </is>
      </c>
      <c r="L720" s="152" t="n">
        <v>46176.92764111111</v>
      </c>
      <c r="M720" s="149" t="inlineStr">
        <is>
          <t>69bd56157f48566a39cf90ee</t>
        </is>
      </c>
    </row>
    <row r="721">
      <c r="A721" s="149" t="inlineStr">
        <is>
          <t>Project Notos</t>
        </is>
      </c>
      <c r="B721" s="149" t="inlineStr">
        <is>
          <t>1.10.1.1</t>
        </is>
      </c>
      <c r="C721" s="17" t="inlineStr">
        <is>
          <t>Company register</t>
        </is>
      </c>
      <c r="D721" s="25" t="n"/>
      <c r="F721" s="150">
        <f>HYPERLINK("https://app.global.datasite.com/platform/container/696652ec0dc07cc02daa26a0/documents/content/index/69a0257474322950d414775b","Company register")</f>
        <v/>
      </c>
      <c r="G721" s="149" t="inlineStr">
        <is>
          <t>FOLDER</t>
        </is>
      </c>
      <c r="H721" s="149" t="n"/>
      <c r="I721" s="149" t="inlineStr">
        <is>
          <t>DOWNLOAD</t>
        </is>
      </c>
      <c r="J721" s="149" t="n"/>
      <c r="K721" s="149" t="inlineStr">
        <is>
          <t>Unread</t>
        </is>
      </c>
      <c r="L721" s="152" t="n">
        <v>46176.92764111111</v>
      </c>
      <c r="M721" s="149" t="inlineStr">
        <is>
          <t>69a0257474322950d414775b</t>
        </is>
      </c>
    </row>
    <row r="722">
      <c r="A722" t="inlineStr">
        <is>
          <t>Project Notos</t>
        </is>
      </c>
      <c r="B722" t="inlineStr">
        <is>
          <t>1.10.1.1.1</t>
        </is>
      </c>
      <c r="C722" s="15" t="inlineStr">
        <is>
          <t>WMA_commercial register excerpt_20260219</t>
        </is>
      </c>
      <c r="D722" s="20" t="inlineStr">
        <is>
          <t>Out-of-Scope</t>
        </is>
      </c>
      <c r="F722" s="151">
        <f>HYPERLINK("https://app.global.datasite.com/webviewer/?projectId=696652ec0dc07cc02daa26a0&amp;documentId=69a6df4c0b057a2e2ad98780","WMA_commercial register excerpt_20260219")</f>
        <v/>
      </c>
      <c r="G722" t="inlineStr">
        <is>
          <t>DOCUMENT</t>
        </is>
      </c>
      <c r="H722" t="inlineStr">
        <is>
          <t>pdf</t>
        </is>
      </c>
      <c r="I722" t="inlineStr">
        <is>
          <t>DOWNLOAD</t>
        </is>
      </c>
      <c r="J722" t="n">
        <v>0.06138229</v>
      </c>
      <c r="K722" t="inlineStr">
        <is>
          <t>Unread</t>
        </is>
      </c>
      <c r="L722" s="153" t="n">
        <v>46176.92764111111</v>
      </c>
      <c r="M722" t="inlineStr">
        <is>
          <t>69a6df4c0b057a2e2ad98780</t>
        </is>
      </c>
    </row>
    <row r="723">
      <c r="A723" s="149" t="inlineStr">
        <is>
          <t>Project Notos</t>
        </is>
      </c>
      <c r="B723" s="149" t="inlineStr">
        <is>
          <t>1.10.1.2</t>
        </is>
      </c>
      <c r="C723" s="17" t="inlineStr">
        <is>
          <t>Articles of association</t>
        </is>
      </c>
      <c r="D723" s="25" t="n"/>
      <c r="F723" s="150">
        <f>HYPERLINK("https://app.global.datasite.com/platform/container/696652ec0dc07cc02daa26a0/documents/content/index/69a0257474322950d414775c","Articles of association")</f>
        <v/>
      </c>
      <c r="G723" s="149" t="inlineStr">
        <is>
          <t>FOLDER</t>
        </is>
      </c>
      <c r="H723" s="149" t="n"/>
      <c r="I723" s="149" t="inlineStr">
        <is>
          <t>DOWNLOAD</t>
        </is>
      </c>
      <c r="J723" s="149" t="n"/>
      <c r="K723" s="149" t="inlineStr">
        <is>
          <t>Unread</t>
        </is>
      </c>
      <c r="L723" s="152" t="n">
        <v>46176.92764111111</v>
      </c>
      <c r="M723" s="149" t="inlineStr">
        <is>
          <t>69a0257474322950d414775c</t>
        </is>
      </c>
    </row>
    <row r="724">
      <c r="A724" t="inlineStr">
        <is>
          <t>Project Notos</t>
        </is>
      </c>
      <c r="B724" t="inlineStr">
        <is>
          <t>1.10.1.2.1</t>
        </is>
      </c>
      <c r="C724" s="15" t="inlineStr">
        <is>
          <t>WMA_articles of association_20170828</t>
        </is>
      </c>
      <c r="D724" s="20" t="inlineStr">
        <is>
          <t>Out-of-Scope</t>
        </is>
      </c>
      <c r="F724" s="151">
        <f>HYPERLINK("https://app.global.datasite.com/webviewer/?projectId=696652ec0dc07cc02daa26a0&amp;documentId=69a6f02344d59829d80a39f5","WMA_articles of association_20170828")</f>
        <v/>
      </c>
      <c r="G724" t="inlineStr">
        <is>
          <t>DOCUMENT</t>
        </is>
      </c>
      <c r="H724" t="inlineStr">
        <is>
          <t>pdf</t>
        </is>
      </c>
      <c r="I724" t="inlineStr">
        <is>
          <t>DOWNLOAD</t>
        </is>
      </c>
      <c r="J724" t="n">
        <v>1.30008316</v>
      </c>
      <c r="K724" t="inlineStr">
        <is>
          <t>Unread</t>
        </is>
      </c>
      <c r="L724" s="153" t="n">
        <v>46176.92764111111</v>
      </c>
      <c r="M724" t="inlineStr">
        <is>
          <t>69a6f02344d59829d80a39f5</t>
        </is>
      </c>
    </row>
    <row r="725">
      <c r="A725" s="149" t="inlineStr">
        <is>
          <t>Project Notos</t>
        </is>
      </c>
      <c r="B725" s="149" t="inlineStr">
        <is>
          <t>1.10.1.3</t>
        </is>
      </c>
      <c r="C725" s="17" t="inlineStr">
        <is>
          <t>Shareholder resolutions</t>
        </is>
      </c>
      <c r="D725" s="25" t="n"/>
      <c r="F725" s="150">
        <f>HYPERLINK("https://app.global.datasite.com/platform/container/696652ec0dc07cc02daa26a0/documents/content/index/69a0257474322950d414775d","Shareholder resolutions")</f>
        <v/>
      </c>
      <c r="G725" s="149" t="inlineStr">
        <is>
          <t>FOLDER</t>
        </is>
      </c>
      <c r="H725" s="149" t="n"/>
      <c r="I725" s="149" t="inlineStr">
        <is>
          <t>DOWNLOAD</t>
        </is>
      </c>
      <c r="J725" s="149" t="n"/>
      <c r="K725" s="149" t="inlineStr">
        <is>
          <t>Unread</t>
        </is>
      </c>
      <c r="L725" s="152" t="n">
        <v>46176.92764111111</v>
      </c>
      <c r="M725" s="149" t="inlineStr">
        <is>
          <t>69a0257474322950d414775d</t>
        </is>
      </c>
    </row>
    <row r="726">
      <c r="A726" t="inlineStr">
        <is>
          <t>Project Notos</t>
        </is>
      </c>
      <c r="B726" t="inlineStr">
        <is>
          <t>1.10.1.3.1</t>
        </is>
      </c>
      <c r="C726" s="15" t="inlineStr">
        <is>
          <t>WMA_Shareholders Resolution (Appointment of Dieter Körbisser)_20140702</t>
        </is>
      </c>
      <c r="D726" s="20" t="inlineStr">
        <is>
          <t>Out-of-Scope</t>
        </is>
      </c>
      <c r="F726" s="151">
        <f>HYPERLINK("https://app.global.datasite.com/webviewer/?projectId=696652ec0dc07cc02daa26a0&amp;documentId=69a9c21da806cc1870d26f44","WMA_Shareholders Resolution (Appointment of Dieter Körbisser)_20140702")</f>
        <v/>
      </c>
      <c r="G726" t="inlineStr">
        <is>
          <t>DOCUMENT</t>
        </is>
      </c>
      <c r="H726" t="inlineStr">
        <is>
          <t>pdf</t>
        </is>
      </c>
      <c r="I726" t="inlineStr">
        <is>
          <t>DOWNLOAD</t>
        </is>
      </c>
      <c r="J726" t="n">
        <v>0.40803337</v>
      </c>
      <c r="K726" t="inlineStr">
        <is>
          <t>Unread</t>
        </is>
      </c>
      <c r="L726" s="153" t="n">
        <v>46176.92764111111</v>
      </c>
      <c r="M726" t="inlineStr">
        <is>
          <t>69a9c21da806cc1870d26f44</t>
        </is>
      </c>
    </row>
    <row r="727">
      <c r="A727" t="inlineStr">
        <is>
          <t>Project Notos</t>
        </is>
      </c>
      <c r="B727" t="inlineStr">
        <is>
          <t>1.10.1.3.2</t>
        </is>
      </c>
      <c r="C727" s="15" t="inlineStr">
        <is>
          <t>WMA_Shareholders Meeting Minutes_20170828</t>
        </is>
      </c>
      <c r="D727" s="20" t="inlineStr">
        <is>
          <t>Out-of-Scope</t>
        </is>
      </c>
      <c r="F727" s="151">
        <f>HYPERLINK("https://app.global.datasite.com/webviewer/?projectId=696652ec0dc07cc02daa26a0&amp;documentId=69a9c2a29f670c66bd87a1cb","WMA_Shareholders Meeting Minutes_20170828")</f>
        <v/>
      </c>
      <c r="G727" t="inlineStr">
        <is>
          <t>DOCUMENT</t>
        </is>
      </c>
      <c r="H727" t="inlineStr">
        <is>
          <t>pdf</t>
        </is>
      </c>
      <c r="I727" t="inlineStr">
        <is>
          <t>DOWNLOAD</t>
        </is>
      </c>
      <c r="J727" t="n">
        <v>0.90499401</v>
      </c>
      <c r="K727" t="inlineStr">
        <is>
          <t>Unread</t>
        </is>
      </c>
      <c r="L727" s="153" t="n">
        <v>46176.92764111111</v>
      </c>
      <c r="M727" t="inlineStr">
        <is>
          <t>69a9c2a29f670c66bd87a1cb</t>
        </is>
      </c>
    </row>
    <row r="728">
      <c r="A728" s="149" t="inlineStr">
        <is>
          <t>Project Notos</t>
        </is>
      </c>
      <c r="B728" s="149" t="inlineStr">
        <is>
          <t>1.10.1.4</t>
        </is>
      </c>
      <c r="C728" s="17" t="inlineStr">
        <is>
          <t>Company agreements</t>
        </is>
      </c>
      <c r="D728" s="25" t="n"/>
      <c r="F728" s="150">
        <f>HYPERLINK("https://app.global.datasite.com/platform/container/696652ec0dc07cc02daa26a0/documents/content/index/69bd52e800cd582225beed76","Company agreements")</f>
        <v/>
      </c>
      <c r="G728" s="149" t="inlineStr">
        <is>
          <t>FOLDER</t>
        </is>
      </c>
      <c r="H728" s="149" t="n"/>
      <c r="I728" s="149" t="inlineStr">
        <is>
          <t>DOWNLOAD</t>
        </is>
      </c>
      <c r="J728" s="149" t="n"/>
      <c r="K728" s="149" t="inlineStr">
        <is>
          <t>Unread</t>
        </is>
      </c>
      <c r="L728" s="152" t="n">
        <v>46176.92764111111</v>
      </c>
      <c r="M728" s="149" t="inlineStr">
        <is>
          <t>69bd52e800cd582225beed76</t>
        </is>
      </c>
    </row>
    <row r="729">
      <c r="A729" t="inlineStr">
        <is>
          <t>Project Notos</t>
        </is>
      </c>
      <c r="B729" t="inlineStr">
        <is>
          <t>1.10.1.4.1</t>
        </is>
      </c>
      <c r="C729" s="15" t="inlineStr">
        <is>
          <t>WMA_invoice RF_231019</t>
        </is>
      </c>
      <c r="D729" s="20" t="inlineStr">
        <is>
          <t>Out-of-Scope</t>
        </is>
      </c>
      <c r="F729" s="151">
        <f>HYPERLINK("https://app.global.datasite.com/webviewer/?projectId=696652ec0dc07cc02daa26a0&amp;documentId=69bd530d1daeb0f3b5e0b12b","WMA_invoice RF_231019")</f>
        <v/>
      </c>
      <c r="G729" t="inlineStr">
        <is>
          <t>DOCUMENT</t>
        </is>
      </c>
      <c r="H729" t="inlineStr">
        <is>
          <t>pdf</t>
        </is>
      </c>
      <c r="I729" t="inlineStr">
        <is>
          <t>DOWNLOAD</t>
        </is>
      </c>
      <c r="J729" t="n">
        <v>0.15683269</v>
      </c>
      <c r="K729" t="inlineStr">
        <is>
          <t>Unread</t>
        </is>
      </c>
      <c r="L729" s="153" t="n">
        <v>46176.92764111111</v>
      </c>
      <c r="M729" t="inlineStr">
        <is>
          <t>69bd530d1daeb0f3b5e0b12b</t>
        </is>
      </c>
    </row>
    <row r="730">
      <c r="A730" t="inlineStr">
        <is>
          <t>Project Notos</t>
        </is>
      </c>
      <c r="B730" t="inlineStr">
        <is>
          <t>1.10.1.4.2</t>
        </is>
      </c>
      <c r="C730" s="15" t="inlineStr">
        <is>
          <t>WMA_shareholder agreement_170828</t>
        </is>
      </c>
      <c r="D730" s="20" t="inlineStr">
        <is>
          <t>Out-of-Scope</t>
        </is>
      </c>
      <c r="F730" s="151">
        <f>HYPERLINK("https://app.global.datasite.com/webviewer/?projectId=696652ec0dc07cc02daa26a0&amp;documentId=69bd530d1daeb0f3b5e0b12c","WMA_shareholder agreement_170828")</f>
        <v/>
      </c>
      <c r="G730" t="inlineStr">
        <is>
          <t>DOCUMENT</t>
        </is>
      </c>
      <c r="H730" t="inlineStr">
        <is>
          <t>pdf</t>
        </is>
      </c>
      <c r="I730" t="inlineStr">
        <is>
          <t>DOWNLOAD</t>
        </is>
      </c>
      <c r="J730" t="n">
        <v>1.16643047</v>
      </c>
      <c r="K730" t="inlineStr">
        <is>
          <t>Unread</t>
        </is>
      </c>
      <c r="L730" s="153" t="n">
        <v>46176.92764111111</v>
      </c>
      <c r="M730" t="inlineStr">
        <is>
          <t>69bd530d1daeb0f3b5e0b12c</t>
        </is>
      </c>
    </row>
    <row r="731">
      <c r="A731" t="inlineStr">
        <is>
          <t>Project Notos</t>
        </is>
      </c>
      <c r="B731" t="inlineStr">
        <is>
          <t>1.10.1.4.3</t>
        </is>
      </c>
      <c r="C731" s="15" t="inlineStr">
        <is>
          <t>WMA_supply agreement RF_210928</t>
        </is>
      </c>
      <c r="D731" s="20" t="inlineStr">
        <is>
          <t>Out-of-Scope</t>
        </is>
      </c>
      <c r="F731" s="151">
        <f>HYPERLINK("https://app.global.datasite.com/webviewer/?projectId=696652ec0dc07cc02daa26a0&amp;documentId=69bd530d1daeb0f3b5e0b12d","WMA_supply agreement RF_210928")</f>
        <v/>
      </c>
      <c r="G731" t="inlineStr">
        <is>
          <t>DOCUMENT</t>
        </is>
      </c>
      <c r="H731" t="inlineStr">
        <is>
          <t>pdf</t>
        </is>
      </c>
      <c r="I731" t="inlineStr">
        <is>
          <t>DOWNLOAD</t>
        </is>
      </c>
      <c r="J731" t="n">
        <v>0.02486038</v>
      </c>
      <c r="K731" t="inlineStr">
        <is>
          <t>Unread</t>
        </is>
      </c>
      <c r="L731" s="153" t="n">
        <v>46176.92764111111</v>
      </c>
      <c r="M731" t="inlineStr">
        <is>
          <t>69bd530d1daeb0f3b5e0b12d</t>
        </is>
      </c>
    </row>
    <row r="732">
      <c r="A732" s="149" t="inlineStr">
        <is>
          <t>Project Notos</t>
        </is>
      </c>
      <c r="B732" s="149" t="inlineStr">
        <is>
          <t>1.10.1.5</t>
        </is>
      </c>
      <c r="C732" s="17" t="inlineStr">
        <is>
          <t>Miscellaneous</t>
        </is>
      </c>
      <c r="D732" s="25" t="n"/>
      <c r="F732" s="150">
        <f>HYPERLINK("https://app.global.datasite.com/platform/container/696652ec0dc07cc02daa26a0/documents/content/index/69a6f1b5379ca3341b57dd2a","Miscellaneous")</f>
        <v/>
      </c>
      <c r="G732" s="149" t="inlineStr">
        <is>
          <t>FOLDER</t>
        </is>
      </c>
      <c r="H732" s="149" t="n"/>
      <c r="I732" s="149" t="inlineStr">
        <is>
          <t>DOWNLOAD</t>
        </is>
      </c>
      <c r="J732" s="149" t="n"/>
      <c r="K732" s="149" t="inlineStr">
        <is>
          <t>Unread</t>
        </is>
      </c>
      <c r="L732" s="152" t="n">
        <v>46176.92764111111</v>
      </c>
      <c r="M732" s="149" t="inlineStr">
        <is>
          <t>69a6f1b5379ca3341b57dd2a</t>
        </is>
      </c>
    </row>
    <row r="733" s="148">
      <c r="A733" t="inlineStr">
        <is>
          <t>Project Notos</t>
        </is>
      </c>
      <c r="B733" t="inlineStr">
        <is>
          <t>1.10.1.5.1</t>
        </is>
      </c>
      <c r="C733" s="15" t="inlineStr">
        <is>
          <t>WMA_Austrian Trade Register Extract_20260309</t>
        </is>
      </c>
      <c r="D733" s="20" t="inlineStr">
        <is>
          <t>Out-of-Scope</t>
        </is>
      </c>
      <c r="F733" s="151">
        <f>HYPERLINK("https://app.global.datasite.com/webviewer/?projectId=696652ec0dc07cc02daa26a0&amp;documentId=69b2f91c034d131a33c8c2bc","WMA_Austrian Trade Register Extract_20260309")</f>
        <v/>
      </c>
      <c r="G733" t="inlineStr">
        <is>
          <t>DOCUMENT</t>
        </is>
      </c>
      <c r="H733" t="inlineStr">
        <is>
          <t>pdf</t>
        </is>
      </c>
      <c r="I733" t="inlineStr">
        <is>
          <t>DOWNLOAD</t>
        </is>
      </c>
      <c r="J733" t="n">
        <v>0.19521522</v>
      </c>
      <c r="K733" t="inlineStr">
        <is>
          <t>Unread</t>
        </is>
      </c>
      <c r="L733" s="153" t="n">
        <v>46176.92764111111</v>
      </c>
      <c r="M733" t="inlineStr">
        <is>
          <t>69b2f91c034d131a33c8c2bc</t>
        </is>
      </c>
    </row>
    <row r="734" s="148">
      <c r="A734" s="149" t="inlineStr">
        <is>
          <t>Project Notos</t>
        </is>
      </c>
      <c r="B734" s="149" t="inlineStr">
        <is>
          <t>1.11</t>
        </is>
      </c>
      <c r="C734" s="17" t="inlineStr">
        <is>
          <t>SPA</t>
        </is>
      </c>
      <c r="D734" s="25" t="n"/>
      <c r="F734" s="150">
        <f>HYPERLINK("https://app.global.datasite.com/platform/container/696652ec0dc07cc02daa26a0/documents/content/index/69f3814bf5a40fbf15197941","SPA")</f>
        <v/>
      </c>
      <c r="G734" s="149" t="inlineStr">
        <is>
          <t>FOLDER</t>
        </is>
      </c>
      <c r="H734" s="149" t="n"/>
      <c r="I734" s="149" t="inlineStr">
        <is>
          <t>DOWNLOAD</t>
        </is>
      </c>
      <c r="J734" s="149" t="n"/>
      <c r="K734" s="149" t="inlineStr">
        <is>
          <t>Unread</t>
        </is>
      </c>
      <c r="L734" s="152" t="n">
        <v>46176.92764111111</v>
      </c>
      <c r="M734" s="149" t="inlineStr">
        <is>
          <t>69f3814bf5a40fbf15197941</t>
        </is>
      </c>
    </row>
    <row r="735" s="148">
      <c r="A735" s="3" t="inlineStr">
        <is>
          <t>Project Notos</t>
        </is>
      </c>
      <c r="B735" s="3" t="inlineStr">
        <is>
          <t>1.11.1</t>
        </is>
      </c>
      <c r="C735" s="18" t="inlineStr">
        <is>
          <t>To be provided</t>
        </is>
      </c>
      <c r="D735" s="26" t="n"/>
      <c r="F735" s="3" t="inlineStr">
        <is>
          <t>To be provided</t>
        </is>
      </c>
      <c r="G735" s="3" t="inlineStr">
        <is>
          <t>PLACEHOLDER</t>
        </is>
      </c>
      <c r="H735" s="3" t="n"/>
      <c r="I735" s="3" t="inlineStr">
        <is>
          <t>DOWNLOAD</t>
        </is>
      </c>
      <c r="J735" s="3" t="n"/>
      <c r="K735" s="3" t="inlineStr">
        <is>
          <t>Unread</t>
        </is>
      </c>
      <c r="L735" s="9" t="n">
        <v>46176.92764111111</v>
      </c>
      <c r="M735" s="3" t="inlineStr">
        <is>
          <t>69f38153f5a40fbf15197956</t>
        </is>
      </c>
    </row>
    <row r="736" s="148">
      <c r="A736" s="154" t="inlineStr">
        <is>
          <t>Project Notos</t>
        </is>
      </c>
      <c r="B736" s="154" t="inlineStr">
        <is>
          <t>1.11.2</t>
        </is>
      </c>
      <c r="C736" s="155" t="inlineStr">
        <is>
          <t>Notos_SPA_VDR Draft</t>
        </is>
      </c>
      <c r="D736" s="156" t="n"/>
      <c r="E736" s="156" t="n"/>
      <c r="F736" s="157">
        <f>HYPERLINK("https://app.global.datasite.com/webviewer/?projectId=696652ec0dc07cc02daa26a0&amp;documentId=6a4c99f0ddab0d8717fd7f9d","Notos_SPA_VDR Draft")</f>
        <v/>
      </c>
      <c r="G736" s="154" t="inlineStr">
        <is>
          <t>DOCUMENT</t>
        </is>
      </c>
      <c r="H736" s="154" t="inlineStr">
        <is>
          <t>docx</t>
        </is>
      </c>
      <c r="I736" s="154" t="inlineStr">
        <is>
          <t>DOWNLOAD</t>
        </is>
      </c>
      <c r="J736" s="154" t="n">
        <v>0.35436344</v>
      </c>
      <c r="K736" s="154" t="inlineStr">
        <is>
          <t>Unread</t>
        </is>
      </c>
      <c r="L736" s="158" t="n">
        <v>46210.34653861111</v>
      </c>
      <c r="M736" s="154" t="inlineStr">
        <is>
          <t>6a4c99f0ddab0d8717fd7f9d</t>
        </is>
      </c>
    </row>
    <row r="737" s="148">
      <c r="A737" s="154" t="inlineStr">
        <is>
          <t>Project Notos</t>
        </is>
      </c>
      <c r="B737" s="154" t="inlineStr">
        <is>
          <t>1.11.3</t>
        </is>
      </c>
      <c r="C737" s="155" t="inlineStr">
        <is>
          <t>Notos_Schedule 7.2 to SPA_VDR Draft_Sellers' Guarantees</t>
        </is>
      </c>
      <c r="D737" s="156" t="n"/>
      <c r="E737" s="156" t="n"/>
      <c r="F737" s="157">
        <f>HYPERLINK("https://app.global.datasite.com/webviewer/?projectId=696652ec0dc07cc02daa26a0&amp;documentId=6a4c99f0ddab0d8717fd7f9e","Notos_Schedule 7.2 to SPA_VDR Draft_Sellers' Guarantees")</f>
        <v/>
      </c>
      <c r="G737" s="154" t="inlineStr">
        <is>
          <t>DOCUMENT</t>
        </is>
      </c>
      <c r="H737" s="154" t="inlineStr">
        <is>
          <t>docx</t>
        </is>
      </c>
      <c r="I737" s="154" t="inlineStr">
        <is>
          <t>DOWNLOAD</t>
        </is>
      </c>
      <c r="J737" s="154" t="n">
        <v>0.09801006</v>
      </c>
      <c r="K737" s="154" t="inlineStr">
        <is>
          <t>Unread</t>
        </is>
      </c>
      <c r="L737" s="158" t="n">
        <v>46210.34653861111</v>
      </c>
      <c r="M737" s="154" t="inlineStr">
        <is>
          <t>6a4c99f0ddab0d8717fd7f9e</t>
        </is>
      </c>
    </row>
    <row r="738" s="148">
      <c r="A738" s="154" t="inlineStr">
        <is>
          <t>Project Notos</t>
        </is>
      </c>
      <c r="B738" s="154" t="inlineStr">
        <is>
          <t>1.11.4</t>
        </is>
      </c>
      <c r="C738" s="155" t="inlineStr">
        <is>
          <t>Project Notos - NBI Report - HWF Partners (VDR version)</t>
        </is>
      </c>
      <c r="D738" s="156" t="n"/>
      <c r="E738" s="156" t="n"/>
      <c r="F738" s="157">
        <f>HYPERLINK("https://app.global.datasite.com/webviewer/?projectId=696652ec0dc07cc02daa26a0&amp;documentId=6a4c99f0ddab0d8717fd7f9f","Project Notos - NBI Report - HWF Partners (VDR version)")</f>
        <v/>
      </c>
      <c r="G738" s="154" t="inlineStr">
        <is>
          <t>DOCUMENT</t>
        </is>
      </c>
      <c r="H738" s="154" t="inlineStr">
        <is>
          <t>pdf</t>
        </is>
      </c>
      <c r="I738" s="154" t="inlineStr">
        <is>
          <t>DOWNLOAD</t>
        </is>
      </c>
      <c r="J738" s="154" t="n">
        <v>0.83105945</v>
      </c>
      <c r="K738" s="154" t="inlineStr">
        <is>
          <t>Unread</t>
        </is>
      </c>
      <c r="L738" s="158" t="n">
        <v>46210.34653861111</v>
      </c>
      <c r="M738" s="154" t="inlineStr">
        <is>
          <t>6a4c99f0ddab0d8717fd7f9f</t>
        </is>
      </c>
    </row>
    <row r="739" s="148">
      <c r="A739" s="149" t="inlineStr">
        <is>
          <t>Project Notos</t>
        </is>
      </c>
      <c r="B739" s="149" t="inlineStr">
        <is>
          <t>2</t>
        </is>
      </c>
      <c r="C739" s="17" t="inlineStr">
        <is>
          <t>Financial</t>
        </is>
      </c>
      <c r="D739" s="25" t="n"/>
      <c r="F739" s="150">
        <f>HYPERLINK("https://app.global.datasite.com/platform/container/696652ec0dc07cc02daa26a0/documents/content/index/698cb7213613a095ea713e4e","Financial")</f>
        <v/>
      </c>
      <c r="G739" s="149" t="inlineStr">
        <is>
          <t>FOLDER</t>
        </is>
      </c>
      <c r="H739" s="149" t="n"/>
      <c r="I739" s="149" t="inlineStr">
        <is>
          <t>DOWNLOAD</t>
        </is>
      </c>
      <c r="J739" s="149" t="n"/>
      <c r="K739" s="149" t="inlineStr">
        <is>
          <t>Unread</t>
        </is>
      </c>
      <c r="L739" s="152" t="n">
        <v>46176.92764111111</v>
      </c>
      <c r="M739" s="149" t="inlineStr">
        <is>
          <t>698cb7213613a095ea713e4e</t>
        </is>
      </c>
    </row>
    <row r="740" s="148">
      <c r="A740" s="149" t="inlineStr">
        <is>
          <t>Project Notos</t>
        </is>
      </c>
      <c r="B740" s="149" t="inlineStr">
        <is>
          <t>2.1</t>
        </is>
      </c>
      <c r="C740" s="17" t="inlineStr">
        <is>
          <t>Financial Fact Book / Data Book</t>
        </is>
      </c>
      <c r="D740" s="25" t="n"/>
      <c r="F740" s="150">
        <f>HYPERLINK("https://app.global.datasite.com/platform/container/696652ec0dc07cc02daa26a0/documents/content/index/69e78ee4f40a3edda10666b3","Financial Fact Book / Data Book")</f>
        <v/>
      </c>
      <c r="G740" s="149" t="inlineStr">
        <is>
          <t>FOLDER</t>
        </is>
      </c>
      <c r="H740" s="149" t="n"/>
      <c r="I740" s="149" t="inlineStr">
        <is>
          <t>DOWNLOAD</t>
        </is>
      </c>
      <c r="J740" s="149" t="n"/>
      <c r="K740" s="149" t="inlineStr">
        <is>
          <t>Unread</t>
        </is>
      </c>
      <c r="L740" s="152" t="n">
        <v>46176.92764111111</v>
      </c>
      <c r="M740" s="149" t="inlineStr">
        <is>
          <t>69e78ee4f40a3edda10666b3</t>
        </is>
      </c>
    </row>
    <row r="741">
      <c r="A741" t="inlineStr">
        <is>
          <t>Project Notos</t>
        </is>
      </c>
      <c r="B741" t="inlineStr">
        <is>
          <t>2.1.1</t>
        </is>
      </c>
      <c r="C741" s="15" t="inlineStr">
        <is>
          <t>Project Notos - Final Draft Financial Factbook_15042026</t>
        </is>
      </c>
      <c r="D741" s="20" t="inlineStr">
        <is>
          <t>Out-of-Scope</t>
        </is>
      </c>
      <c r="F741" s="151">
        <f>HYPERLINK("https://app.global.datasite.com/webviewer/?projectId=696652ec0dc07cc02daa26a0&amp;documentId=69e8dbbb1d614f68156f6788","Project Notos - Final Draft Financial Factbook_15042026")</f>
        <v/>
      </c>
      <c r="G741" t="inlineStr">
        <is>
          <t>DOCUMENT</t>
        </is>
      </c>
      <c r="H741" t="inlineStr">
        <is>
          <t>pdf</t>
        </is>
      </c>
      <c r="I741" t="inlineStr">
        <is>
          <t>DOWNLOAD</t>
        </is>
      </c>
      <c r="J741" t="n">
        <v>4.2029314</v>
      </c>
      <c r="K741" t="inlineStr">
        <is>
          <t>Unread</t>
        </is>
      </c>
      <c r="L741" s="153" t="n">
        <v>46176.92764111111</v>
      </c>
      <c r="M741" t="inlineStr">
        <is>
          <t>69e8dbbb1d614f68156f6788</t>
        </is>
      </c>
    </row>
    <row r="742">
      <c r="A742" t="inlineStr">
        <is>
          <t>Project Notos</t>
        </is>
      </c>
      <c r="B742" t="inlineStr">
        <is>
          <t>2.1.2</t>
        </is>
      </c>
      <c r="C742" s="15" t="inlineStr">
        <is>
          <t>Project Notos - Databook to Final Draft FFB 15042026</t>
        </is>
      </c>
      <c r="D742" s="20" t="inlineStr">
        <is>
          <t>Out-of-Scope</t>
        </is>
      </c>
      <c r="F742" s="151">
        <f>HYPERLINK("https://app.global.datasite.com/webviewer/?projectId=696652ec0dc07cc02daa26a0&amp;documentId=69e8dbdc14fdf124fdefb692","Project Notos - Databook to Final Draft FFB 15042026")</f>
        <v/>
      </c>
      <c r="G742" t="inlineStr">
        <is>
          <t>DOCUMENT</t>
        </is>
      </c>
      <c r="H742" t="inlineStr">
        <is>
          <t>xlsx</t>
        </is>
      </c>
      <c r="I742" t="inlineStr">
        <is>
          <t>DOWNLOAD</t>
        </is>
      </c>
      <c r="J742" t="n">
        <v>1.27875614</v>
      </c>
      <c r="K742" t="inlineStr">
        <is>
          <t>Unread</t>
        </is>
      </c>
      <c r="L742" s="153" t="n">
        <v>46176.92764111111</v>
      </c>
      <c r="M742" t="inlineStr">
        <is>
          <t>69e8dbdc14fdf124fdefb692</t>
        </is>
      </c>
    </row>
    <row r="743">
      <c r="A743" t="inlineStr">
        <is>
          <t>Project Notos</t>
        </is>
      </c>
      <c r="B743" t="inlineStr">
        <is>
          <t>2.1.3</t>
        </is>
      </c>
      <c r="C743" s="15" t="inlineStr">
        <is>
          <t>Project Notos - BS IC eliminations 2023-2025</t>
        </is>
      </c>
      <c r="D743" s="20" t="inlineStr">
        <is>
          <t>Out-of-Scope</t>
        </is>
      </c>
      <c r="F743" s="151">
        <f>HYPERLINK("https://app.global.datasite.com/webviewer/?projectId=696652ec0dc07cc02daa26a0&amp;documentId=6a0f0f2b18fc1daea98ca4db","Project Notos - BS IC eliminations 2023-2025")</f>
        <v/>
      </c>
      <c r="G743" t="inlineStr">
        <is>
          <t>DOCUMENT</t>
        </is>
      </c>
      <c r="H743" t="inlineStr">
        <is>
          <t>xlsx</t>
        </is>
      </c>
      <c r="I743" t="inlineStr">
        <is>
          <t>DOWNLOAD</t>
        </is>
      </c>
      <c r="J743" t="n">
        <v>0.6117506</v>
      </c>
      <c r="K743" t="inlineStr">
        <is>
          <t>Unread</t>
        </is>
      </c>
      <c r="L743" s="153" t="n">
        <v>46176.92764111111</v>
      </c>
      <c r="M743" t="inlineStr">
        <is>
          <t>6a0f0f2b18fc1daea98ca4db</t>
        </is>
      </c>
    </row>
    <row r="744">
      <c r="A744" t="inlineStr">
        <is>
          <t>Project Notos</t>
        </is>
      </c>
      <c r="B744" t="inlineStr">
        <is>
          <t>2.1.4</t>
        </is>
      </c>
      <c r="C744" s="15" t="inlineStr">
        <is>
          <t>Project Notos - IS IC eliminations 2023-2025</t>
        </is>
      </c>
      <c r="D744" s="20" t="inlineStr">
        <is>
          <t>Out-of-Scope</t>
        </is>
      </c>
      <c r="F744" s="151">
        <f>HYPERLINK("https://app.global.datasite.com/webviewer/?projectId=696652ec0dc07cc02daa26a0&amp;documentId=6a0f0f2b18fc1daea98ca4dc","Project Notos - IS IC eliminations 2023-2025")</f>
        <v/>
      </c>
      <c r="G744" t="inlineStr">
        <is>
          <t>DOCUMENT</t>
        </is>
      </c>
      <c r="H744" t="inlineStr">
        <is>
          <t>xlsx</t>
        </is>
      </c>
      <c r="I744" t="inlineStr">
        <is>
          <t>DOWNLOAD</t>
        </is>
      </c>
      <c r="J744" t="n">
        <v>0.54466056</v>
      </c>
      <c r="K744" t="inlineStr">
        <is>
          <t>Unread</t>
        </is>
      </c>
      <c r="L744" s="153" t="n">
        <v>46176.92764111111</v>
      </c>
      <c r="M744" t="inlineStr">
        <is>
          <t>6a0f0f2b18fc1daea98ca4dc</t>
        </is>
      </c>
    </row>
    <row r="745">
      <c r="A745" s="149" t="inlineStr">
        <is>
          <t>Project Notos</t>
        </is>
      </c>
      <c r="B745" s="149" t="inlineStr">
        <is>
          <t>2.2</t>
        </is>
      </c>
      <c r="C745" s="17" t="inlineStr">
        <is>
          <t>Innerio Thermal Technology (ITT )</t>
        </is>
      </c>
      <c r="D745" s="25" t="n"/>
      <c r="F745" s="150">
        <f>HYPERLINK("https://app.global.datasite.com/platform/container/696652ec0dc07cc02daa26a0/documents/content/index/698cb7213613a095ea713e4f","Innerio Thermal Technology (ITT )")</f>
        <v/>
      </c>
      <c r="G745" s="149" t="inlineStr">
        <is>
          <t>FOLDER</t>
        </is>
      </c>
      <c r="H745" s="149" t="n"/>
      <c r="I745" s="149" t="inlineStr">
        <is>
          <t>DOWNLOAD</t>
        </is>
      </c>
      <c r="J745" s="149" t="n"/>
      <c r="K745" s="149" t="inlineStr">
        <is>
          <t>Unread</t>
        </is>
      </c>
      <c r="L745" s="152" t="n">
        <v>46176.92764111111</v>
      </c>
      <c r="M745" s="149" t="inlineStr">
        <is>
          <t>698cb7213613a095ea713e4f</t>
        </is>
      </c>
    </row>
    <row r="746">
      <c r="A746" s="149" t="inlineStr">
        <is>
          <t>Project Notos</t>
        </is>
      </c>
      <c r="B746" s="149" t="inlineStr">
        <is>
          <t>2.2.1</t>
        </is>
      </c>
      <c r="C746" s="17" t="inlineStr">
        <is>
          <t>Annual Accounts</t>
        </is>
      </c>
      <c r="D746" s="25" t="n"/>
      <c r="F746" s="150">
        <f>HYPERLINK("https://app.global.datasite.com/platform/container/696652ec0dc07cc02daa26a0/documents/content/index/69a96a23d11488dffd88bb15","Annual Accounts")</f>
        <v/>
      </c>
      <c r="G746" s="149" t="inlineStr">
        <is>
          <t>FOLDER</t>
        </is>
      </c>
      <c r="H746" s="149" t="n"/>
      <c r="I746" s="149" t="inlineStr">
        <is>
          <t>DOWNLOAD</t>
        </is>
      </c>
      <c r="J746" s="149" t="n"/>
      <c r="K746" s="149" t="inlineStr">
        <is>
          <t>Unread</t>
        </is>
      </c>
      <c r="L746" s="152" t="n">
        <v>46176.92764111111</v>
      </c>
      <c r="M746" s="149" t="inlineStr">
        <is>
          <t>69a96a23d11488dffd88bb15</t>
        </is>
      </c>
    </row>
    <row r="747">
      <c r="A747" t="inlineStr">
        <is>
          <t>Project Notos</t>
        </is>
      </c>
      <c r="B747" t="inlineStr">
        <is>
          <t>2.2.1.1</t>
        </is>
      </c>
      <c r="C747" s="15" t="inlineStr">
        <is>
          <t>ITT_Annual Accounts 2022_20250407</t>
        </is>
      </c>
      <c r="D747" s="20" t="inlineStr">
        <is>
          <t>Out-of-Scope</t>
        </is>
      </c>
      <c r="F747" s="151">
        <f>HYPERLINK("https://app.global.datasite.com/webviewer/?projectId=696652ec0dc07cc02daa26a0&amp;documentId=69a96a38ce58006b4408ff0e","ITT_Annual Accounts 2022_20250407")</f>
        <v/>
      </c>
      <c r="G747" t="inlineStr">
        <is>
          <t>DOCUMENT</t>
        </is>
      </c>
      <c r="H747" t="inlineStr">
        <is>
          <t>pdf</t>
        </is>
      </c>
      <c r="I747" t="inlineStr">
        <is>
          <t>DOWNLOAD</t>
        </is>
      </c>
      <c r="J747" t="n">
        <v>1.26208305</v>
      </c>
      <c r="K747" t="inlineStr">
        <is>
          <t>Unread</t>
        </is>
      </c>
      <c r="L747" s="153" t="n">
        <v>46176.92764111111</v>
      </c>
      <c r="M747" t="inlineStr">
        <is>
          <t>69a96a38ce58006b4408ff0e</t>
        </is>
      </c>
    </row>
    <row r="748">
      <c r="A748" t="inlineStr">
        <is>
          <t>Project Notos</t>
        </is>
      </c>
      <c r="B748" t="inlineStr">
        <is>
          <t>2.2.1.2</t>
        </is>
      </c>
      <c r="C748" s="15" t="inlineStr">
        <is>
          <t>ITT_Annual Accounts 2022_Auditor_BoD Report</t>
        </is>
      </c>
      <c r="D748" s="20" t="inlineStr">
        <is>
          <t>Out-of-Scope</t>
        </is>
      </c>
      <c r="F748" s="151">
        <f>HYPERLINK("https://app.global.datasite.com/webviewer/?projectId=696652ec0dc07cc02daa26a0&amp;documentId=69c55f27c5c018b648299541","ITT_Annual Accounts 2022_Auditor_BoD Report")</f>
        <v/>
      </c>
      <c r="G748" t="inlineStr">
        <is>
          <t>DOCUMENT</t>
        </is>
      </c>
      <c r="H748" t="inlineStr">
        <is>
          <t>pdf</t>
        </is>
      </c>
      <c r="I748" t="inlineStr">
        <is>
          <t>DOWNLOAD</t>
        </is>
      </c>
      <c r="J748" t="n">
        <v>1.619421</v>
      </c>
      <c r="K748" t="inlineStr">
        <is>
          <t>Unread</t>
        </is>
      </c>
      <c r="L748" s="153" t="n">
        <v>46176.92764111111</v>
      </c>
      <c r="M748" t="inlineStr">
        <is>
          <t>69c55f27c5c018b648299541</t>
        </is>
      </c>
    </row>
    <row r="749">
      <c r="A749" t="inlineStr">
        <is>
          <t>Project Notos</t>
        </is>
      </c>
      <c r="B749" t="inlineStr">
        <is>
          <t>2.2.1.3</t>
        </is>
      </c>
      <c r="C749" s="15" t="inlineStr">
        <is>
          <t>ITT_Annual Accounts 2023_20250818</t>
        </is>
      </c>
      <c r="D749" s="20" t="inlineStr">
        <is>
          <t>Out-of-Scope</t>
        </is>
      </c>
      <c r="F749" s="151">
        <f>HYPERLINK("https://app.global.datasite.com/webviewer/?projectId=696652ec0dc07cc02daa26a0&amp;documentId=69a96a38ce58006b4408ff0f","ITT_Annual Accounts 2023_20250818")</f>
        <v/>
      </c>
      <c r="G749" t="inlineStr">
        <is>
          <t>DOCUMENT</t>
        </is>
      </c>
      <c r="H749" t="inlineStr">
        <is>
          <t>pdf</t>
        </is>
      </c>
      <c r="I749" t="inlineStr">
        <is>
          <t>DOWNLOAD</t>
        </is>
      </c>
      <c r="J749" t="n">
        <v>0.57411956</v>
      </c>
      <c r="K749" t="inlineStr">
        <is>
          <t>Unread</t>
        </is>
      </c>
      <c r="L749" s="153" t="n">
        <v>46176.92764111111</v>
      </c>
      <c r="M749" t="inlineStr">
        <is>
          <t>69a96a38ce58006b4408ff0f</t>
        </is>
      </c>
    </row>
    <row r="750">
      <c r="A750" t="inlineStr">
        <is>
          <t>Project Notos</t>
        </is>
      </c>
      <c r="B750" t="inlineStr">
        <is>
          <t>2.2.1.4</t>
        </is>
      </c>
      <c r="C750" s="15" t="inlineStr">
        <is>
          <t>ITT_Annual Accounts 2023_SH &amp; Board Resolutions_20250613</t>
        </is>
      </c>
      <c r="D750" s="20" t="inlineStr">
        <is>
          <t>Out-of-Scope</t>
        </is>
      </c>
      <c r="F750" s="151">
        <f>HYPERLINK("https://app.global.datasite.com/webviewer/?projectId=696652ec0dc07cc02daa26a0&amp;documentId=69a96a38ce58006b4408ff10","ITT_Annual Accounts 2023_SH &amp; Board Resolutions_20250613")</f>
        <v/>
      </c>
      <c r="G750" t="inlineStr">
        <is>
          <t>DOCUMENT</t>
        </is>
      </c>
      <c r="H750" t="inlineStr">
        <is>
          <t>pdf</t>
        </is>
      </c>
      <c r="I750" t="inlineStr">
        <is>
          <t>DOWNLOAD</t>
        </is>
      </c>
      <c r="J750" t="n">
        <v>6.38556003</v>
      </c>
      <c r="K750" t="inlineStr">
        <is>
          <t>Unread</t>
        </is>
      </c>
      <c r="L750" s="153" t="n">
        <v>46176.92764111111</v>
      </c>
      <c r="M750" t="inlineStr">
        <is>
          <t>69a96a38ce58006b4408ff10</t>
        </is>
      </c>
    </row>
    <row r="751">
      <c r="A751" t="inlineStr">
        <is>
          <t>Project Notos</t>
        </is>
      </c>
      <c r="B751" t="inlineStr">
        <is>
          <t>2.2.1.5</t>
        </is>
      </c>
      <c r="C751" s="15" t="inlineStr">
        <is>
          <t>ITT_Annual Accounts 2023_Auditor_BoD Report</t>
        </is>
      </c>
      <c r="D751" s="20" t="inlineStr">
        <is>
          <t>Out-of-Scope</t>
        </is>
      </c>
      <c r="F751" s="151">
        <f>HYPERLINK("https://app.global.datasite.com/webviewer/?projectId=696652ec0dc07cc02daa26a0&amp;documentId=69c53d49ce283fccb519d171","ITT_Annual Accounts 2023_Auditor_BoD Report")</f>
        <v/>
      </c>
      <c r="G751" t="inlineStr">
        <is>
          <t>DOCUMENT</t>
        </is>
      </c>
      <c r="H751" t="inlineStr">
        <is>
          <t>pdf</t>
        </is>
      </c>
      <c r="I751" t="inlineStr">
        <is>
          <t>DOWNLOAD</t>
        </is>
      </c>
      <c r="J751" t="n">
        <v>9.266662589999999</v>
      </c>
      <c r="K751" t="inlineStr">
        <is>
          <t>Unread</t>
        </is>
      </c>
      <c r="L751" s="153" t="n">
        <v>46176.92764111111</v>
      </c>
      <c r="M751" t="inlineStr">
        <is>
          <t>69c53d49ce283fccb519d171</t>
        </is>
      </c>
    </row>
    <row r="752">
      <c r="A752" t="inlineStr">
        <is>
          <t>Project Notos</t>
        </is>
      </c>
      <c r="B752" t="inlineStr">
        <is>
          <t>2.2.1.6</t>
        </is>
      </c>
      <c r="C752" s="15" t="inlineStr">
        <is>
          <t>ITT_Annual Accounts 2024_20251031_Auditor Report</t>
        </is>
      </c>
      <c r="D752" s="20" t="inlineStr">
        <is>
          <t>Out-of-Scope</t>
        </is>
      </c>
      <c r="F752" s="151">
        <f>HYPERLINK("https://app.global.datasite.com/webviewer/?projectId=696652ec0dc07cc02daa26a0&amp;documentId=69a96a38ce58006b4408ff11","ITT_Annual Accounts 2024_20251031_Auditor Report")</f>
        <v/>
      </c>
      <c r="G752" t="inlineStr">
        <is>
          <t>DOCUMENT</t>
        </is>
      </c>
      <c r="H752" t="inlineStr">
        <is>
          <t>pdf</t>
        </is>
      </c>
      <c r="I752" t="inlineStr">
        <is>
          <t>DOWNLOAD</t>
        </is>
      </c>
      <c r="J752" t="n">
        <v>0.53648471</v>
      </c>
      <c r="K752" t="inlineStr">
        <is>
          <t>Unread</t>
        </is>
      </c>
      <c r="L752" s="153" t="n">
        <v>46176.92764111111</v>
      </c>
      <c r="M752" t="inlineStr">
        <is>
          <t>69a96a38ce58006b4408ff11</t>
        </is>
      </c>
    </row>
    <row r="753">
      <c r="A753" t="inlineStr">
        <is>
          <t>Project Notos</t>
        </is>
      </c>
      <c r="B753" t="inlineStr">
        <is>
          <t>2.2.1.7</t>
        </is>
      </c>
      <c r="C753" s="15" t="inlineStr">
        <is>
          <t>ITT_Annual Accounts 2024_Auditor_BoD Report</t>
        </is>
      </c>
      <c r="D753" s="20" t="inlineStr">
        <is>
          <t>Out-of-Scope</t>
        </is>
      </c>
      <c r="F753" s="151">
        <f>HYPERLINK("https://app.global.datasite.com/webviewer/?projectId=696652ec0dc07cc02daa26a0&amp;documentId=69c53b50f823513bf7f4f390","ITT_Annual Accounts 2024_Auditor_BoD Report")</f>
        <v/>
      </c>
      <c r="G753" t="inlineStr">
        <is>
          <t>DOCUMENT</t>
        </is>
      </c>
      <c r="H753" t="inlineStr">
        <is>
          <t>pdf</t>
        </is>
      </c>
      <c r="I753" t="inlineStr">
        <is>
          <t>DOWNLOAD</t>
        </is>
      </c>
      <c r="J753" t="n">
        <v>1.73950481</v>
      </c>
      <c r="K753" t="inlineStr">
        <is>
          <t>Unread</t>
        </is>
      </c>
      <c r="L753" s="153" t="n">
        <v>46176.92764111111</v>
      </c>
      <c r="M753" t="inlineStr">
        <is>
          <t>69c53b50f823513bf7f4f390</t>
        </is>
      </c>
    </row>
    <row r="754" s="148">
      <c r="A754" t="inlineStr">
        <is>
          <t>Project Notos</t>
        </is>
      </c>
      <c r="B754" t="inlineStr">
        <is>
          <t>2.2.1.8</t>
        </is>
      </c>
      <c r="C754" t="inlineStr">
        <is>
          <t>ITT_Annual Accounts 2025 with Signed audit report</t>
        </is>
      </c>
      <c r="D754" s="20" t="inlineStr">
        <is>
          <t>Out-of-Scope</t>
        </is>
      </c>
      <c r="F754" s="151">
        <f>HYPERLINK("https://app.global.datasite.com/webviewer/?projectId=696652ec0dc07cc02daa26a0&amp;documentId=6a28111efe0223eb45f087d5","ITT_Annual Accounts 2025 with Signed audit report")</f>
        <v/>
      </c>
      <c r="G754" t="inlineStr">
        <is>
          <t>DOCUMENT</t>
        </is>
      </c>
      <c r="H754" t="inlineStr">
        <is>
          <t>pdf</t>
        </is>
      </c>
      <c r="I754" t="inlineStr">
        <is>
          <t>DOWNLOAD</t>
        </is>
      </c>
      <c r="J754" t="n">
        <v>1.65754222</v>
      </c>
      <c r="K754" t="inlineStr">
        <is>
          <t>Unread</t>
        </is>
      </c>
      <c r="L754" s="153" t="n">
        <v>46182.66195875</v>
      </c>
      <c r="M754" t="inlineStr">
        <is>
          <t>6a28111efe0223eb45f087d5</t>
        </is>
      </c>
    </row>
    <row r="755" s="148">
      <c r="A755" s="149" t="inlineStr">
        <is>
          <t>Project Notos</t>
        </is>
      </c>
      <c r="B755" s="149" t="inlineStr">
        <is>
          <t>2.2.2</t>
        </is>
      </c>
      <c r="C755" s="17" t="inlineStr">
        <is>
          <t>Zabrze plant</t>
        </is>
      </c>
      <c r="D755" s="25" t="n"/>
      <c r="F755" s="150">
        <f>HYPERLINK("https://app.global.datasite.com/platform/container/696652ec0dc07cc02daa26a0/documents/content/index/69c63e93d71dfed7bae74fd1","Zabrze plant")</f>
        <v/>
      </c>
      <c r="G755" s="149" t="inlineStr">
        <is>
          <t>FOLDER</t>
        </is>
      </c>
      <c r="H755" s="149" t="n"/>
      <c r="I755" s="149" t="inlineStr">
        <is>
          <t>DOWNLOAD</t>
        </is>
      </c>
      <c r="J755" s="149" t="n"/>
      <c r="K755" s="149" t="inlineStr">
        <is>
          <t>Unread</t>
        </is>
      </c>
      <c r="L755" s="152" t="n">
        <v>46176.92764111111</v>
      </c>
      <c r="M755" s="149" t="inlineStr">
        <is>
          <t>69c63e93d71dfed7bae74fd1</t>
        </is>
      </c>
    </row>
    <row r="756">
      <c r="A756" s="149" t="inlineStr">
        <is>
          <t>Project Notos</t>
        </is>
      </c>
      <c r="B756" s="149" t="inlineStr">
        <is>
          <t>2.2.2.1</t>
        </is>
      </c>
      <c r="C756" s="17" t="inlineStr">
        <is>
          <t>Annual Accounts</t>
        </is>
      </c>
      <c r="D756" s="25" t="n"/>
      <c r="F756" s="150">
        <f>HYPERLINK("https://app.global.datasite.com/platform/container/696652ec0dc07cc02daa26a0/documents/content/index/69c63ea417350af3e89d89ed","Annual Accounts")</f>
        <v/>
      </c>
      <c r="G756" s="149" t="inlineStr">
        <is>
          <t>FOLDER</t>
        </is>
      </c>
      <c r="H756" s="149" t="n"/>
      <c r="I756" s="149" t="inlineStr">
        <is>
          <t>DOWNLOAD</t>
        </is>
      </c>
      <c r="J756" s="149" t="n"/>
      <c r="K756" s="149" t="inlineStr">
        <is>
          <t>Unread</t>
        </is>
      </c>
      <c r="L756" s="152" t="n">
        <v>46176.92764111111</v>
      </c>
      <c r="M756" s="149" t="inlineStr">
        <is>
          <t>69c63ea417350af3e89d89ed</t>
        </is>
      </c>
    </row>
    <row r="757">
      <c r="A757" s="149" t="inlineStr">
        <is>
          <t>Project Notos</t>
        </is>
      </c>
      <c r="B757" s="149" t="inlineStr">
        <is>
          <t>2.2.2.1.1</t>
        </is>
      </c>
      <c r="C757" s="17" t="inlineStr">
        <is>
          <t>2022</t>
        </is>
      </c>
      <c r="D757" s="25" t="n"/>
      <c r="F757" s="150">
        <f>HYPERLINK("https://app.global.datasite.com/platform/container/696652ec0dc07cc02daa26a0/documents/content/index/69c67d4117350af3e89da5e9","2022")</f>
        <v/>
      </c>
      <c r="G757" s="149" t="inlineStr">
        <is>
          <t>FOLDER</t>
        </is>
      </c>
      <c r="H757" s="149" t="n"/>
      <c r="I757" s="149" t="inlineStr">
        <is>
          <t>DOWNLOAD</t>
        </is>
      </c>
      <c r="J757" s="149" t="n"/>
      <c r="K757" s="149" t="inlineStr">
        <is>
          <t>Unread</t>
        </is>
      </c>
      <c r="L757" s="152" t="n">
        <v>46176.92764111111</v>
      </c>
      <c r="M757" s="149" t="inlineStr">
        <is>
          <t>69c67d4117350af3e89da5e9</t>
        </is>
      </c>
    </row>
    <row r="758">
      <c r="A758" t="inlineStr">
        <is>
          <t>Project Notos</t>
        </is>
      </c>
      <c r="B758" t="inlineStr">
        <is>
          <t>2.2.2.1.1.1</t>
        </is>
      </c>
      <c r="C758" s="15" t="inlineStr">
        <is>
          <t>Poland Branch_Additonal info as of 31.12.2022</t>
        </is>
      </c>
      <c r="D758" s="20" t="inlineStr">
        <is>
          <t>Out-of-Scope</t>
        </is>
      </c>
      <c r="F758" s="151">
        <f>HYPERLINK("https://app.global.datasite.com/webviewer/?projectId=696652ec0dc07cc02daa26a0&amp;documentId=69c67cd1d71dfed7bae764c1","Poland Branch_Additonal info as of 31.12.2022")</f>
        <v/>
      </c>
      <c r="G758" t="inlineStr">
        <is>
          <t>DOCUMENT</t>
        </is>
      </c>
      <c r="H758" t="inlineStr">
        <is>
          <t>pdf</t>
        </is>
      </c>
      <c r="I758" t="inlineStr">
        <is>
          <t>DOWNLOAD</t>
        </is>
      </c>
      <c r="J758" t="n">
        <v>0.5328722</v>
      </c>
      <c r="K758" t="inlineStr">
        <is>
          <t>Unread</t>
        </is>
      </c>
      <c r="L758" s="153" t="n">
        <v>46176.92764111111</v>
      </c>
      <c r="M758" t="inlineStr">
        <is>
          <t>69c67cd1d71dfed7bae764c1</t>
        </is>
      </c>
    </row>
    <row r="759">
      <c r="A759" t="inlineStr">
        <is>
          <t>Project Notos</t>
        </is>
      </c>
      <c r="B759" t="inlineStr">
        <is>
          <t>2.2.2.1.1.2</t>
        </is>
      </c>
      <c r="C759" s="15" t="inlineStr">
        <is>
          <t>Poland Branch_Annual Accounts 2022</t>
        </is>
      </c>
      <c r="D759" s="20" t="inlineStr">
        <is>
          <t>Out-of-Scope</t>
        </is>
      </c>
      <c r="F759" s="151">
        <f>HYPERLINK("https://app.global.datasite.com/webviewer/?projectId=696652ec0dc07cc02daa26a0&amp;documentId=69c67cef8bca900354997889","Poland Branch_Annual Accounts 2022")</f>
        <v/>
      </c>
      <c r="G759" t="inlineStr">
        <is>
          <t>DOCUMENT</t>
        </is>
      </c>
      <c r="H759" t="inlineStr">
        <is>
          <t>pdf</t>
        </is>
      </c>
      <c r="I759" t="inlineStr">
        <is>
          <t>DOWNLOAD</t>
        </is>
      </c>
      <c r="J759" t="n">
        <v>0.5120716</v>
      </c>
      <c r="K759" t="inlineStr">
        <is>
          <t>Unread</t>
        </is>
      </c>
      <c r="L759" s="153" t="n">
        <v>46176.92764111111</v>
      </c>
      <c r="M759" t="inlineStr">
        <is>
          <t>69c67cef8bca900354997889</t>
        </is>
      </c>
    </row>
    <row r="760">
      <c r="A760" s="149" t="inlineStr">
        <is>
          <t>Project Notos</t>
        </is>
      </c>
      <c r="B760" s="149" t="inlineStr">
        <is>
          <t>2.2.2.1.2</t>
        </is>
      </c>
      <c r="C760" s="17" t="inlineStr">
        <is>
          <t>2023</t>
        </is>
      </c>
      <c r="D760" s="25" t="n"/>
      <c r="F760" s="150">
        <f>HYPERLINK("https://app.global.datasite.com/platform/container/696652ec0dc07cc02daa26a0/documents/content/index/69c67b548fcb7339a240540c","2023")</f>
        <v/>
      </c>
      <c r="G760" s="149" t="inlineStr">
        <is>
          <t>FOLDER</t>
        </is>
      </c>
      <c r="H760" s="149" t="n"/>
      <c r="I760" s="149" t="inlineStr">
        <is>
          <t>DOWNLOAD</t>
        </is>
      </c>
      <c r="J760" s="149" t="n"/>
      <c r="K760" s="149" t="inlineStr">
        <is>
          <t>Unread</t>
        </is>
      </c>
      <c r="L760" s="152" t="n">
        <v>46176.92764111111</v>
      </c>
      <c r="M760" s="149" t="inlineStr">
        <is>
          <t>69c67b548fcb7339a240540c</t>
        </is>
      </c>
    </row>
    <row r="761" s="148">
      <c r="A761" t="inlineStr">
        <is>
          <t>Project Notos</t>
        </is>
      </c>
      <c r="B761" t="inlineStr">
        <is>
          <t>2.2.2.1.2.1</t>
        </is>
      </c>
      <c r="C761" s="15" t="inlineStr">
        <is>
          <t>Poland Branch_Additonal info as of 31.12.2023</t>
        </is>
      </c>
      <c r="D761" s="20" t="inlineStr">
        <is>
          <t>Out-of-Scope</t>
        </is>
      </c>
      <c r="F761" s="151">
        <f>HYPERLINK("https://app.global.datasite.com/webviewer/?projectId=696652ec0dc07cc02daa26a0&amp;documentId=69c67b78ee10c0ac4a7eda33","Poland Branch_Additonal info as of 31.12.2023")</f>
        <v/>
      </c>
      <c r="G761" t="inlineStr">
        <is>
          <t>DOCUMENT</t>
        </is>
      </c>
      <c r="H761" t="inlineStr">
        <is>
          <t>pdf</t>
        </is>
      </c>
      <c r="I761" t="inlineStr">
        <is>
          <t>DOWNLOAD</t>
        </is>
      </c>
      <c r="J761" t="n">
        <v>0.52244853</v>
      </c>
      <c r="K761" t="inlineStr">
        <is>
          <t>Unread</t>
        </is>
      </c>
      <c r="L761" s="153" t="n">
        <v>46176.92764111111</v>
      </c>
      <c r="M761" t="inlineStr">
        <is>
          <t>69c67b78ee10c0ac4a7eda33</t>
        </is>
      </c>
    </row>
    <row r="762">
      <c r="A762" t="inlineStr">
        <is>
          <t>Project Notos</t>
        </is>
      </c>
      <c r="B762" t="inlineStr">
        <is>
          <t>2.2.2.1.2.2</t>
        </is>
      </c>
      <c r="C762" s="15" t="inlineStr">
        <is>
          <t>Poland Branch_Annual Accounts 2023</t>
        </is>
      </c>
      <c r="D762" s="20" t="inlineStr">
        <is>
          <t>Out-of-Scope</t>
        </is>
      </c>
      <c r="F762" s="151">
        <f>HYPERLINK("https://app.global.datasite.com/webviewer/?projectId=696652ec0dc07cc02daa26a0&amp;documentId=69c67bb6851a3033e12f9c9b","Poland Branch_Annual Accounts 2023")</f>
        <v/>
      </c>
      <c r="G762" t="inlineStr">
        <is>
          <t>DOCUMENT</t>
        </is>
      </c>
      <c r="H762" t="inlineStr">
        <is>
          <t>pdf</t>
        </is>
      </c>
      <c r="I762" t="inlineStr">
        <is>
          <t>DOWNLOAD</t>
        </is>
      </c>
      <c r="J762" t="n">
        <v>0.50601673</v>
      </c>
      <c r="K762" t="inlineStr">
        <is>
          <t>Unread</t>
        </is>
      </c>
      <c r="L762" s="153" t="n">
        <v>46176.92764111111</v>
      </c>
      <c r="M762" t="inlineStr">
        <is>
          <t>69c67bb6851a3033e12f9c9b</t>
        </is>
      </c>
    </row>
    <row r="763">
      <c r="A763" t="inlineStr">
        <is>
          <t>Project Notos</t>
        </is>
      </c>
      <c r="B763" t="inlineStr">
        <is>
          <t>2.2.2.1.2.3</t>
        </is>
      </c>
      <c r="C763" s="15" t="inlineStr">
        <is>
          <t>Poland Branch_Management confirmation 2023</t>
        </is>
      </c>
      <c r="D763" s="20" t="inlineStr">
        <is>
          <t>Out-of-Scope</t>
        </is>
      </c>
      <c r="F763" s="151">
        <f>HYPERLINK("https://app.global.datasite.com/webviewer/?projectId=696652ec0dc07cc02daa26a0&amp;documentId=69c67c0b8fcb7339a240542d","Poland Branch_Management confirmation 2023")</f>
        <v/>
      </c>
      <c r="G763" t="inlineStr">
        <is>
          <t>DOCUMENT</t>
        </is>
      </c>
      <c r="H763" t="inlineStr">
        <is>
          <t>pdf</t>
        </is>
      </c>
      <c r="I763" t="inlineStr">
        <is>
          <t>DOWNLOAD</t>
        </is>
      </c>
      <c r="J763" t="n">
        <v>0.34571743</v>
      </c>
      <c r="K763" t="inlineStr">
        <is>
          <t>Unread</t>
        </is>
      </c>
      <c r="L763" s="153" t="n">
        <v>46176.92764111111</v>
      </c>
      <c r="M763" t="inlineStr">
        <is>
          <t>69c67c0b8fcb7339a240542d</t>
        </is>
      </c>
    </row>
    <row r="764">
      <c r="A764" s="149" t="inlineStr">
        <is>
          <t>Project Notos</t>
        </is>
      </c>
      <c r="B764" s="149" t="inlineStr">
        <is>
          <t>2.2.2.1.3</t>
        </is>
      </c>
      <c r="C764" s="17" t="inlineStr">
        <is>
          <t>2024</t>
        </is>
      </c>
      <c r="D764" s="25" t="n"/>
      <c r="F764" s="150">
        <f>HYPERLINK("https://app.global.datasite.com/platform/container/696652ec0dc07cc02daa26a0/documents/content/index/69c63eac17350af3e89d89f0","2024")</f>
        <v/>
      </c>
      <c r="G764" s="149" t="inlineStr">
        <is>
          <t>FOLDER</t>
        </is>
      </c>
      <c r="H764" s="149" t="n"/>
      <c r="I764" s="149" t="inlineStr">
        <is>
          <t>DOWNLOAD</t>
        </is>
      </c>
      <c r="J764" s="149" t="n"/>
      <c r="K764" s="149" t="inlineStr">
        <is>
          <t>Unread</t>
        </is>
      </c>
      <c r="L764" s="152" t="n">
        <v>46176.92764111111</v>
      </c>
      <c r="M764" s="149" t="inlineStr">
        <is>
          <t>69c63eac17350af3e89d89f0</t>
        </is>
      </c>
    </row>
    <row r="765">
      <c r="A765" t="inlineStr">
        <is>
          <t>Project Notos</t>
        </is>
      </c>
      <c r="B765" t="inlineStr">
        <is>
          <t>2.2.2.1.3.1</t>
        </is>
      </c>
      <c r="C765" s="15" t="inlineStr">
        <is>
          <t>Poland Branch_Additonal info as of 31.12.2024</t>
        </is>
      </c>
      <c r="D765" s="20" t="inlineStr">
        <is>
          <t>Out-of-Scope</t>
        </is>
      </c>
      <c r="F765" s="151">
        <f>HYPERLINK("https://app.global.datasite.com/webviewer/?projectId=696652ec0dc07cc02daa26a0&amp;documentId=69c63ec3c5c018b64829f502","Poland Branch_Additonal info as of 31.12.2024")</f>
        <v/>
      </c>
      <c r="G765" t="inlineStr">
        <is>
          <t>DOCUMENT</t>
        </is>
      </c>
      <c r="H765" t="inlineStr">
        <is>
          <t>pdf</t>
        </is>
      </c>
      <c r="I765" t="inlineStr">
        <is>
          <t>DOWNLOAD</t>
        </is>
      </c>
      <c r="J765" t="n">
        <v>0.44768238</v>
      </c>
      <c r="K765" t="inlineStr">
        <is>
          <t>Unread</t>
        </is>
      </c>
      <c r="L765" s="153" t="n">
        <v>46176.92764111111</v>
      </c>
      <c r="M765" t="inlineStr">
        <is>
          <t>69c63ec3c5c018b64829f502</t>
        </is>
      </c>
    </row>
    <row r="766">
      <c r="A766" s="149" t="inlineStr">
        <is>
          <t>Project Notos</t>
        </is>
      </c>
      <c r="B766" s="149" t="inlineStr">
        <is>
          <t>2.2.3</t>
        </is>
      </c>
      <c r="C766" s="17" t="inlineStr">
        <is>
          <t>CAPEX</t>
        </is>
      </c>
      <c r="D766" s="25" t="n"/>
      <c r="F766" s="150">
        <f>HYPERLINK("https://app.global.datasite.com/platform/container/696652ec0dc07cc02daa26a0/documents/content/index/69e10a248b34ba225fc10819","CAPEX")</f>
        <v/>
      </c>
      <c r="G766" s="149" t="inlineStr">
        <is>
          <t>FOLDER</t>
        </is>
      </c>
      <c r="H766" s="149" t="n"/>
      <c r="I766" s="149" t="inlineStr">
        <is>
          <t>DOWNLOAD</t>
        </is>
      </c>
      <c r="J766" s="149" t="n"/>
      <c r="K766" s="149" t="inlineStr">
        <is>
          <t>Unread</t>
        </is>
      </c>
      <c r="L766" s="152" t="n">
        <v>46176.92764111111</v>
      </c>
      <c r="M766" s="149" t="inlineStr">
        <is>
          <t>69e10a248b34ba225fc10819</t>
        </is>
      </c>
    </row>
    <row r="767">
      <c r="A767" t="inlineStr">
        <is>
          <t>Project Notos</t>
        </is>
      </c>
      <c r="B767" t="inlineStr">
        <is>
          <t>2.2.3.1</t>
        </is>
      </c>
      <c r="C767" s="15" t="inlineStr">
        <is>
          <t>ITT_CAPEX 2023-2025</t>
        </is>
      </c>
      <c r="D767" s="20" t="inlineStr">
        <is>
          <t>Out-of-Scope</t>
        </is>
      </c>
      <c r="F767" s="151">
        <f>HYPERLINK("https://app.global.datasite.com/webviewer/?projectId=696652ec0dc07cc02daa26a0&amp;documentId=69e10a7594545245b0a96001","ITT_CAPEX 2023-2025")</f>
        <v/>
      </c>
      <c r="G767" t="inlineStr">
        <is>
          <t>DOCUMENT</t>
        </is>
      </c>
      <c r="H767" t="inlineStr">
        <is>
          <t>xlsx</t>
        </is>
      </c>
      <c r="I767" t="inlineStr">
        <is>
          <t>DOWNLOAD</t>
        </is>
      </c>
      <c r="J767" t="n">
        <v>0.01216506</v>
      </c>
      <c r="K767" t="inlineStr">
        <is>
          <t>Unread</t>
        </is>
      </c>
      <c r="L767" s="153" t="n">
        <v>46176.92764111111</v>
      </c>
      <c r="M767" t="inlineStr">
        <is>
          <t>69e10a7594545245b0a96001</t>
        </is>
      </c>
    </row>
    <row r="768" s="148">
      <c r="A768" t="inlineStr">
        <is>
          <t>Project Notos</t>
        </is>
      </c>
      <c r="B768" t="inlineStr">
        <is>
          <t>2.2.3.2</t>
        </is>
      </c>
      <c r="C768" t="inlineStr">
        <is>
          <t>ITT_CAPEX 2023-2025 inkl 2026 BUD</t>
        </is>
      </c>
      <c r="D768" s="20" t="inlineStr">
        <is>
          <t>Out-of-Scope</t>
        </is>
      </c>
      <c r="F768" s="151">
        <f>HYPERLINK("https://app.global.datasite.com/webviewer/?projectId=696652ec0dc07cc02daa26a0&amp;documentId=6a295ee768a74994293d8893","ITT_CAPEX 2023-2025 inkl 2026 BUD")</f>
        <v/>
      </c>
      <c r="G768" t="inlineStr">
        <is>
          <t>DOCUMENT</t>
        </is>
      </c>
      <c r="H768" t="inlineStr">
        <is>
          <t>xlsx</t>
        </is>
      </c>
      <c r="I768" t="inlineStr">
        <is>
          <t>DOWNLOAD</t>
        </is>
      </c>
      <c r="J768" t="n">
        <v>0.01197147</v>
      </c>
      <c r="K768" t="inlineStr">
        <is>
          <t>Unread</t>
        </is>
      </c>
      <c r="L768" s="153" t="n">
        <v>46183.62805138889</v>
      </c>
      <c r="M768" t="inlineStr">
        <is>
          <t>6a295ee768a74994293d8893</t>
        </is>
      </c>
    </row>
    <row r="769" s="148">
      <c r="A769" t="inlineStr">
        <is>
          <t>Project Notos</t>
        </is>
      </c>
      <c r="B769" t="inlineStr">
        <is>
          <t>2.2.3.3</t>
        </is>
      </c>
      <c r="C769" t="inlineStr">
        <is>
          <t>ITT_CAPEX 2023-2026 BUD per project</t>
        </is>
      </c>
      <c r="D769" s="20" t="inlineStr">
        <is>
          <t>Out-of-Scope</t>
        </is>
      </c>
      <c r="F769" s="151" t="n">
        <v>0</v>
      </c>
      <c r="G769" t="inlineStr">
        <is>
          <t>DOCUMENT</t>
        </is>
      </c>
      <c r="H769" t="inlineStr">
        <is>
          <t>xlsx</t>
        </is>
      </c>
      <c r="I769" t="inlineStr">
        <is>
          <t>DOWNLOAD</t>
        </is>
      </c>
      <c r="J769" t="n">
        <v>0.13105964</v>
      </c>
      <c r="K769" t="inlineStr">
        <is>
          <t>Unread</t>
        </is>
      </c>
      <c r="L769" s="153" t="n">
        <v>46188.49178273148</v>
      </c>
      <c r="M769" t="inlineStr">
        <is>
          <t>6a2fbc7d29ba457b0ca9041f</t>
        </is>
      </c>
    </row>
    <row r="770" s="148">
      <c r="A770" s="149" t="inlineStr">
        <is>
          <t>Project Notos</t>
        </is>
      </c>
      <c r="B770" s="149" t="inlineStr">
        <is>
          <t>2.2.4</t>
        </is>
      </c>
      <c r="C770" s="17" t="inlineStr">
        <is>
          <t>Payables / Receivables Aging</t>
        </is>
      </c>
      <c r="D770" s="25" t="n"/>
      <c r="F770" s="150">
        <f>HYPERLINK("https://app.global.datasite.com/platform/container/696652ec0dc07cc02daa26a0/documents/content/index/6a1dad7f641573fa81d93bae","Payables / Receivables Aging")</f>
        <v/>
      </c>
      <c r="G770" s="149" t="inlineStr">
        <is>
          <t>FOLDER</t>
        </is>
      </c>
      <c r="H770" s="149" t="n"/>
      <c r="I770" s="149" t="inlineStr">
        <is>
          <t>DOWNLOAD</t>
        </is>
      </c>
      <c r="J770" s="149" t="n"/>
      <c r="K770" s="149" t="inlineStr">
        <is>
          <t>Unread</t>
        </is>
      </c>
      <c r="L770" s="152" t="n">
        <v>46176.92764111111</v>
      </c>
      <c r="M770" s="149" t="inlineStr">
        <is>
          <t>6a1dad7f641573fa81d93bae</t>
        </is>
      </c>
    </row>
    <row r="771" s="148">
      <c r="A771" t="inlineStr">
        <is>
          <t>Project Notos</t>
        </is>
      </c>
      <c r="B771" t="inlineStr">
        <is>
          <t>2.2.4.1</t>
        </is>
      </c>
      <c r="C771" s="15" t="inlineStr">
        <is>
          <t>ITT_aging AP 30.04.2026</t>
        </is>
      </c>
      <c r="D771" s="20" t="inlineStr">
        <is>
          <t>Out-of-Scope</t>
        </is>
      </c>
      <c r="F771" s="151">
        <f>HYPERLINK("https://app.global.datasite.com/webviewer/?projectId=696652ec0dc07cc02daa26a0&amp;documentId=6a1dc40ea5d46cfc38fc7ae2","ITT_aging AP 30.04.2026")</f>
        <v/>
      </c>
      <c r="G771" t="inlineStr">
        <is>
          <t>DOCUMENT</t>
        </is>
      </c>
      <c r="H771" t="inlineStr">
        <is>
          <t>xlsx</t>
        </is>
      </c>
      <c r="I771" t="inlineStr">
        <is>
          <t>DOWNLOAD</t>
        </is>
      </c>
      <c r="J771" t="n">
        <v>0.34339427</v>
      </c>
      <c r="K771" t="inlineStr">
        <is>
          <t>Unread</t>
        </is>
      </c>
      <c r="L771" s="153" t="n">
        <v>46176.92764111111</v>
      </c>
      <c r="M771" t="inlineStr">
        <is>
          <t>6a1dc40ea5d46cfc38fc7ae2</t>
        </is>
      </c>
    </row>
    <row r="772" s="148">
      <c r="A772" t="inlineStr">
        <is>
          <t>Project Notos</t>
        </is>
      </c>
      <c r="B772" t="inlineStr">
        <is>
          <t>2.2.4.2</t>
        </is>
      </c>
      <c r="C772" s="15" t="inlineStr">
        <is>
          <t>ITT_aging AR 30.04.2026</t>
        </is>
      </c>
      <c r="D772" s="20" t="inlineStr">
        <is>
          <t>Out-of-Scope</t>
        </is>
      </c>
      <c r="F772" s="151">
        <f>HYPERLINK("https://app.global.datasite.com/webviewer/?projectId=696652ec0dc07cc02daa26a0&amp;documentId=6a1dc41cece0f7142bed2e7a","ITT_aging AR 30.04.2026")</f>
        <v/>
      </c>
      <c r="G772" t="inlineStr">
        <is>
          <t>DOCUMENT</t>
        </is>
      </c>
      <c r="H772" t="inlineStr">
        <is>
          <t>xlsx</t>
        </is>
      </c>
      <c r="I772" t="inlineStr">
        <is>
          <t>DOWNLOAD</t>
        </is>
      </c>
      <c r="J772" t="n">
        <v>0.06799697</v>
      </c>
      <c r="K772" t="inlineStr">
        <is>
          <t>Unread</t>
        </is>
      </c>
      <c r="L772" s="153" t="n">
        <v>46176.92764111111</v>
      </c>
      <c r="M772" t="inlineStr">
        <is>
          <t>6a1dc41cece0f7142bed2e7a</t>
        </is>
      </c>
    </row>
    <row r="773">
      <c r="A773" t="inlineStr">
        <is>
          <t>Project Notos</t>
        </is>
      </c>
      <c r="B773" t="inlineStr">
        <is>
          <t>2.2.4.3</t>
        </is>
      </c>
      <c r="C773" t="inlineStr">
        <is>
          <t>ITT_aging AP 31.12.2025</t>
        </is>
      </c>
      <c r="D773" s="20" t="inlineStr">
        <is>
          <t>Out-of-Scope</t>
        </is>
      </c>
      <c r="E773" s="35" t="n"/>
      <c r="F773" s="151" t="n">
        <v>0</v>
      </c>
      <c r="G773" t="inlineStr">
        <is>
          <t>DOCUMENT</t>
        </is>
      </c>
      <c r="H773" t="inlineStr">
        <is>
          <t>xlsx</t>
        </is>
      </c>
      <c r="I773" t="inlineStr">
        <is>
          <t>DOWNLOAD</t>
        </is>
      </c>
      <c r="J773" t="n">
        <v>0.15083694</v>
      </c>
      <c r="K773" t="inlineStr">
        <is>
          <t>Unread</t>
        </is>
      </c>
      <c r="L773" s="153" t="n">
        <v>46192.70177767361</v>
      </c>
      <c r="M773" t="inlineStr">
        <is>
          <t>6a3556b0f03ac4a400a5beec</t>
        </is>
      </c>
    </row>
    <row r="774">
      <c r="A774" t="inlineStr">
        <is>
          <t>Project Notos</t>
        </is>
      </c>
      <c r="B774" t="inlineStr">
        <is>
          <t>2.2.4.4</t>
        </is>
      </c>
      <c r="C774" t="inlineStr">
        <is>
          <t>ITT_aging AP 31.12.2024</t>
        </is>
      </c>
      <c r="D774" s="20" t="inlineStr">
        <is>
          <t>Out-of-Scope</t>
        </is>
      </c>
      <c r="E774" s="35" t="n"/>
      <c r="F774" s="151" t="n">
        <v>0</v>
      </c>
      <c r="G774" t="inlineStr">
        <is>
          <t>DOCUMENT</t>
        </is>
      </c>
      <c r="H774" t="inlineStr">
        <is>
          <t>xlsx</t>
        </is>
      </c>
      <c r="I774" t="inlineStr">
        <is>
          <t>DOWNLOAD</t>
        </is>
      </c>
      <c r="J774" t="n">
        <v>0.24536037</v>
      </c>
      <c r="K774" t="inlineStr">
        <is>
          <t>Unread</t>
        </is>
      </c>
      <c r="L774" s="153" t="n">
        <v>46192.70177767361</v>
      </c>
      <c r="M774" t="inlineStr">
        <is>
          <t>6a3556e62338f54ade18d212</t>
        </is>
      </c>
    </row>
    <row r="775">
      <c r="A775" t="inlineStr">
        <is>
          <t>Project Notos</t>
        </is>
      </c>
      <c r="B775" t="inlineStr">
        <is>
          <t>2.2.4.5</t>
        </is>
      </c>
      <c r="C775" t="inlineStr">
        <is>
          <t>ITT_aging AP 31.12.2023</t>
        </is>
      </c>
      <c r="D775" s="20" t="inlineStr">
        <is>
          <t>Out-of-Scope</t>
        </is>
      </c>
      <c r="E775" s="35" t="n"/>
      <c r="F775" s="151" t="n">
        <v>0</v>
      </c>
      <c r="G775" t="inlineStr">
        <is>
          <t>DOCUMENT</t>
        </is>
      </c>
      <c r="H775" t="inlineStr">
        <is>
          <t>xlsx</t>
        </is>
      </c>
      <c r="I775" t="inlineStr">
        <is>
          <t>DOWNLOAD</t>
        </is>
      </c>
      <c r="J775" t="n">
        <v>0.15142822</v>
      </c>
      <c r="K775" t="inlineStr">
        <is>
          <t>Unread</t>
        </is>
      </c>
      <c r="L775" s="153" t="n">
        <v>46192.70177767361</v>
      </c>
      <c r="M775" t="inlineStr">
        <is>
          <t>6a3556d229b99e87e3b086c5</t>
        </is>
      </c>
    </row>
    <row r="776">
      <c r="A776" s="154" t="inlineStr">
        <is>
          <t>Project Notos</t>
        </is>
      </c>
      <c r="B776" s="154" t="inlineStr">
        <is>
          <t>2.2.4.6</t>
        </is>
      </c>
      <c r="C776" s="155" t="inlineStr">
        <is>
          <t>ITT_aging AR 30.04.2025</t>
        </is>
      </c>
      <c r="D776" s="156" t="n"/>
      <c r="E776" s="156" t="n"/>
      <c r="F776" s="157">
        <f>HYPERLINK("https://app.global.datasite.com/webviewer/?projectId=696652ec0dc07cc02daa26a0&amp;documentId=6a38f4c4319d689ab11117ab","ITT_aging AR 30.04.2025")</f>
        <v/>
      </c>
      <c r="G776" s="154" t="inlineStr">
        <is>
          <t>DOCUMENT</t>
        </is>
      </c>
      <c r="H776" s="154" t="inlineStr">
        <is>
          <t>xlsx</t>
        </is>
      </c>
      <c r="I776" s="154" t="inlineStr">
        <is>
          <t>DOWNLOAD</t>
        </is>
      </c>
      <c r="J776" s="154" t="n">
        <v>0.0441513</v>
      </c>
      <c r="K776" s="154" t="inlineStr">
        <is>
          <t>Unread</t>
        </is>
      </c>
      <c r="L776" s="158" t="n">
        <v>46195.44828939815</v>
      </c>
      <c r="M776" s="154" t="inlineStr">
        <is>
          <t>6a38f4c4319d689ab11117ab</t>
        </is>
      </c>
    </row>
    <row r="777">
      <c r="A777" s="154" t="inlineStr">
        <is>
          <t>Project Notos</t>
        </is>
      </c>
      <c r="B777" s="154" t="inlineStr">
        <is>
          <t>2.2.4.7</t>
        </is>
      </c>
      <c r="C777" s="155" t="inlineStr">
        <is>
          <t>ITT_aging AR 30.04.2024</t>
        </is>
      </c>
      <c r="D777" s="156" t="n"/>
      <c r="E777" s="156" t="n"/>
      <c r="F777" s="157">
        <f>HYPERLINK("https://app.global.datasite.com/webviewer/?projectId=696652ec0dc07cc02daa26a0&amp;documentId=6a38f4e0319d689ab11117b8","ITT_aging AR 30.04.2024")</f>
        <v/>
      </c>
      <c r="G777" s="154" t="inlineStr">
        <is>
          <t>DOCUMENT</t>
        </is>
      </c>
      <c r="H777" s="154" t="inlineStr">
        <is>
          <t>xlsx</t>
        </is>
      </c>
      <c r="I777" s="154" t="inlineStr">
        <is>
          <t>DOWNLOAD</t>
        </is>
      </c>
      <c r="J777" s="154" t="n">
        <v>0.05945968</v>
      </c>
      <c r="K777" s="154" t="inlineStr">
        <is>
          <t>Unread</t>
        </is>
      </c>
      <c r="L777" s="158" t="n">
        <v>46195.44833268518</v>
      </c>
      <c r="M777" s="154" t="inlineStr">
        <is>
          <t>6a38f4e0319d689ab11117b8</t>
        </is>
      </c>
    </row>
    <row r="778">
      <c r="A778" s="154" t="inlineStr">
        <is>
          <t>Project Notos</t>
        </is>
      </c>
      <c r="B778" s="154" t="inlineStr">
        <is>
          <t>2.2.4.8</t>
        </is>
      </c>
      <c r="C778" s="155" t="inlineStr">
        <is>
          <t>ITT_aging AR 30.04.2023</t>
        </is>
      </c>
      <c r="D778" s="156" t="n"/>
      <c r="E778" s="156" t="n"/>
      <c r="F778" s="157">
        <f>HYPERLINK("https://app.global.datasite.com/webviewer/?projectId=696652ec0dc07cc02daa26a0&amp;documentId=6a38f4f0df540cce3f39b1b2","ITT_aging AR 30.04.2023")</f>
        <v/>
      </c>
      <c r="G778" s="154" t="inlineStr">
        <is>
          <t>DOCUMENT</t>
        </is>
      </c>
      <c r="H778" s="154" t="inlineStr">
        <is>
          <t>xlsx</t>
        </is>
      </c>
      <c r="I778" s="154" t="inlineStr">
        <is>
          <t>DOWNLOAD</t>
        </is>
      </c>
      <c r="J778" s="154" t="n">
        <v>0.04316806</v>
      </c>
      <c r="K778" s="154" t="inlineStr">
        <is>
          <t>Unread</t>
        </is>
      </c>
      <c r="L778" s="158" t="n">
        <v>46195.44838642361</v>
      </c>
      <c r="M778" s="154" t="inlineStr">
        <is>
          <t>6a38f4f0df540cce3f39b1b2</t>
        </is>
      </c>
    </row>
    <row r="779">
      <c r="A779" s="154" t="inlineStr">
        <is>
          <t>Project Notos</t>
        </is>
      </c>
      <c r="B779" s="154" t="inlineStr">
        <is>
          <t>2.2.5</t>
        </is>
      </c>
      <c r="C779" s="155" t="inlineStr">
        <is>
          <t>Management Reporting</t>
        </is>
      </c>
      <c r="D779" s="156" t="n"/>
      <c r="E779" s="156" t="n"/>
      <c r="F779" s="157">
        <f>HYPERLINK("https://app.global.datasite.com/platform/container/696652ec0dc07cc02daa26a0/documents/content/index/6a399c210acba839f1a3014e","Management Reporting")</f>
        <v/>
      </c>
      <c r="G779" s="154" t="inlineStr">
        <is>
          <t>FOLDER</t>
        </is>
      </c>
      <c r="H779" s="154" t="n"/>
      <c r="I779" s="154" t="inlineStr">
        <is>
          <t>DOWNLOAD</t>
        </is>
      </c>
      <c r="J779" s="154" t="n"/>
      <c r="K779" s="154" t="inlineStr">
        <is>
          <t>Unread</t>
        </is>
      </c>
      <c r="L779" s="158" t="n">
        <v>46195.94228409723</v>
      </c>
      <c r="M779" s="154" t="inlineStr">
        <is>
          <t>6a399c210acba839f1a3014e</t>
        </is>
      </c>
    </row>
    <row r="780">
      <c r="A780" s="154" t="inlineStr">
        <is>
          <t>Project Notos</t>
        </is>
      </c>
      <c r="B780" s="154" t="inlineStr">
        <is>
          <t>2.2.5.1</t>
        </is>
      </c>
      <c r="C780" s="155" t="inlineStr">
        <is>
          <t>ITT Consolidated 2023 Reporting</t>
        </is>
      </c>
      <c r="D780" s="156" t="n"/>
      <c r="E780" s="156" t="n"/>
      <c r="F780" s="157">
        <f>HYPERLINK("https://app.global.datasite.com/webviewer/?projectId=696652ec0dc07cc02daa26a0&amp;documentId=6a399c49d3e46919af306952","ITT Consolidated 2023 Reporting")</f>
        <v/>
      </c>
      <c r="G780" s="154" t="inlineStr">
        <is>
          <t>DOCUMENT</t>
        </is>
      </c>
      <c r="H780" s="154" t="inlineStr">
        <is>
          <t>xlsx</t>
        </is>
      </c>
      <c r="I780" s="154" t="inlineStr">
        <is>
          <t>DOWNLOAD</t>
        </is>
      </c>
      <c r="J780" s="154" t="n">
        <v>0.05183315</v>
      </c>
      <c r="K780" s="154" t="inlineStr">
        <is>
          <t>Unread</t>
        </is>
      </c>
      <c r="L780" s="158" t="n">
        <v>46195.94228368055</v>
      </c>
      <c r="M780" s="154" t="inlineStr">
        <is>
          <t>6a399c49d3e46919af306952</t>
        </is>
      </c>
    </row>
    <row r="781">
      <c r="A781" s="154" t="inlineStr">
        <is>
          <t>Project Notos</t>
        </is>
      </c>
      <c r="B781" s="154" t="inlineStr">
        <is>
          <t>2.2.5.2</t>
        </is>
      </c>
      <c r="C781" s="155" t="inlineStr">
        <is>
          <t>ITT Consolidated 2024 Reporting</t>
        </is>
      </c>
      <c r="D781" s="156" t="n"/>
      <c r="E781" s="156" t="n"/>
      <c r="F781" s="157">
        <f>HYPERLINK("https://app.global.datasite.com/webviewer/?projectId=696652ec0dc07cc02daa26a0&amp;documentId=6a399c66f34b5ecd55a405f7","ITT Consolidated 2024 Reporting")</f>
        <v/>
      </c>
      <c r="G781" s="154" t="inlineStr">
        <is>
          <t>DOCUMENT</t>
        </is>
      </c>
      <c r="H781" s="154" t="inlineStr">
        <is>
          <t>xlsx</t>
        </is>
      </c>
      <c r="I781" s="154" t="inlineStr">
        <is>
          <t>DOWNLOAD</t>
        </is>
      </c>
      <c r="J781" s="154" t="n">
        <v>0.05212974</v>
      </c>
      <c r="K781" s="154" t="inlineStr">
        <is>
          <t>Unread</t>
        </is>
      </c>
      <c r="L781" s="158" t="n">
        <v>46195.94228368055</v>
      </c>
      <c r="M781" s="154" t="inlineStr">
        <is>
          <t>6a399c66f34b5ecd55a405f7</t>
        </is>
      </c>
    </row>
    <row r="782">
      <c r="A782" s="154" t="inlineStr">
        <is>
          <t>Project Notos</t>
        </is>
      </c>
      <c r="B782" s="154" t="inlineStr">
        <is>
          <t>2.2.5.3</t>
        </is>
      </c>
      <c r="C782" s="155" t="inlineStr">
        <is>
          <t>ITT Consolidated 2025 Reporting</t>
        </is>
      </c>
      <c r="D782" s="156" t="n"/>
      <c r="E782" s="156" t="n"/>
      <c r="F782" s="157">
        <f>HYPERLINK("https://app.global.datasite.com/webviewer/?projectId=696652ec0dc07cc02daa26a0&amp;documentId=6a399c7daa5a153ebd48c1b9","ITT Consolidated 2025 Reporting")</f>
        <v/>
      </c>
      <c r="G782" s="154" t="inlineStr">
        <is>
          <t>DOCUMENT</t>
        </is>
      </c>
      <c r="H782" s="154" t="inlineStr">
        <is>
          <t>xlsx</t>
        </is>
      </c>
      <c r="I782" s="154" t="inlineStr">
        <is>
          <t>DOWNLOAD</t>
        </is>
      </c>
      <c r="J782" s="154" t="n">
        <v>0.05166912</v>
      </c>
      <c r="K782" s="154" t="inlineStr">
        <is>
          <t>Unread</t>
        </is>
      </c>
      <c r="L782" s="158" t="n">
        <v>46195.94228368055</v>
      </c>
      <c r="M782" s="154" t="inlineStr">
        <is>
          <t>6a399c7daa5a153ebd48c1b9</t>
        </is>
      </c>
    </row>
    <row r="783">
      <c r="A783" s="154" t="inlineStr">
        <is>
          <t>Project Notos</t>
        </is>
      </c>
      <c r="B783" s="154" t="inlineStr">
        <is>
          <t>2.2.6</t>
        </is>
      </c>
      <c r="C783" s="155" t="inlineStr">
        <is>
          <t>Fixed Assets</t>
        </is>
      </c>
      <c r="D783" s="156" t="n"/>
      <c r="E783" s="156" t="n"/>
      <c r="F783" s="157">
        <f>HYPERLINK("https://app.global.datasite.com/platform/container/696652ec0dc07cc02daa26a0/documents/content/index/6a3bd4e40acba839f1a3e65a","Fixed Assets")</f>
        <v/>
      </c>
      <c r="G783" s="154" t="inlineStr">
        <is>
          <t>FOLDER</t>
        </is>
      </c>
      <c r="H783" s="154" t="n"/>
      <c r="I783" s="154" t="inlineStr">
        <is>
          <t>DOWNLOAD</t>
        </is>
      </c>
      <c r="J783" s="154" t="n"/>
      <c r="K783" s="154" t="inlineStr">
        <is>
          <t>Unread</t>
        </is>
      </c>
      <c r="L783" s="158" t="n">
        <v>46198.67902302084</v>
      </c>
      <c r="M783" s="154" t="inlineStr">
        <is>
          <t>6a3bd4e40acba839f1a3e65a</t>
        </is>
      </c>
    </row>
    <row r="784" s="148">
      <c r="A784" s="154" t="inlineStr">
        <is>
          <t>Project Notos</t>
        </is>
      </c>
      <c r="B784" s="154" t="inlineStr">
        <is>
          <t>2.2.6.1</t>
        </is>
      </c>
      <c r="C784" s="155" t="inlineStr">
        <is>
          <t>ITT_POLAND FIXED ASSETS 31.12.2025</t>
        </is>
      </c>
      <c r="D784" s="156" t="n"/>
      <c r="E784" s="156" t="n"/>
      <c r="F784" s="157">
        <f>HYPERLINK("https://app.global.datasite.com/webviewer/?projectId=696652ec0dc07cc02daa26a0&amp;documentId=6a3bd7e294259263def10c56","ITT_POLAND FIXED ASSETS 31.12.2025")</f>
        <v/>
      </c>
      <c r="G784" s="154" t="inlineStr">
        <is>
          <t>DOCUMENT</t>
        </is>
      </c>
      <c r="H784" s="154" t="inlineStr">
        <is>
          <t>xlsx</t>
        </is>
      </c>
      <c r="I784" s="154" t="inlineStr">
        <is>
          <t>DOWNLOAD</t>
        </is>
      </c>
      <c r="J784" s="154" t="n">
        <v>0.32721233</v>
      </c>
      <c r="K784" s="154" t="inlineStr">
        <is>
          <t>Unread</t>
        </is>
      </c>
      <c r="L784" s="158" t="n">
        <v>46198.67902259259</v>
      </c>
      <c r="M784" s="154" t="inlineStr">
        <is>
          <t>6a3bd7e294259263def10c56</t>
        </is>
      </c>
    </row>
    <row r="785">
      <c r="A785" s="154" t="inlineStr">
        <is>
          <t>Project Notos</t>
        </is>
      </c>
      <c r="B785" s="154" t="inlineStr">
        <is>
          <t>2.2.6.2</t>
        </is>
      </c>
      <c r="C785" s="155" t="inlineStr">
        <is>
          <t>ITT_LUXEMBOURG FIXED ASSETS 31.12.2025</t>
        </is>
      </c>
      <c r="D785" s="156" t="n"/>
      <c r="E785" s="156" t="n"/>
      <c r="F785" s="157">
        <f>HYPERLINK("https://app.global.datasite.com/webviewer/?projectId=696652ec0dc07cc02daa26a0&amp;documentId=6a3bd7e294259263def10c57","ITT_LUXEMBOURG FIXED ASSETS 31.12.2025")</f>
        <v/>
      </c>
      <c r="G785" s="154" t="inlineStr">
        <is>
          <t>DOCUMENT</t>
        </is>
      </c>
      <c r="H785" s="154" t="inlineStr">
        <is>
          <t>xlsb</t>
        </is>
      </c>
      <c r="I785" s="154" t="inlineStr">
        <is>
          <t>DOWNLOAD</t>
        </is>
      </c>
      <c r="J785" s="154" t="n">
        <v>0.08996772</v>
      </c>
      <c r="K785" s="154" t="inlineStr">
        <is>
          <t>Unread</t>
        </is>
      </c>
      <c r="L785" s="158" t="n">
        <v>46198.70896210648</v>
      </c>
      <c r="M785" s="154" t="inlineStr">
        <is>
          <t>6a3bd7e294259263def10c57</t>
        </is>
      </c>
    </row>
    <row r="786">
      <c r="A786" s="154" t="inlineStr">
        <is>
          <t>Project Notos</t>
        </is>
      </c>
      <c r="B786" s="154" t="inlineStr">
        <is>
          <t>2.2.7</t>
        </is>
      </c>
      <c r="C786" s="155" t="inlineStr">
        <is>
          <t>Inventory</t>
        </is>
      </c>
      <c r="D786" s="156" t="n"/>
      <c r="E786" s="156" t="n"/>
      <c r="F786" s="157">
        <f>HYPERLINK("https://app.global.datasite.com/platform/container/696652ec0dc07cc02daa26a0/documents/content/index/6a42a266b248d0e04b1bfd47","Inventory")</f>
        <v/>
      </c>
      <c r="G786" s="154" t="inlineStr">
        <is>
          <t>FOLDER</t>
        </is>
      </c>
      <c r="H786" s="154" t="n"/>
      <c r="I786" s="154" t="inlineStr">
        <is>
          <t>DOWNLOAD</t>
        </is>
      </c>
      <c r="J786" s="154" t="n"/>
      <c r="K786" s="154" t="inlineStr">
        <is>
          <t>Unread</t>
        </is>
      </c>
      <c r="L786" s="158" t="n">
        <v>46205.58950966435</v>
      </c>
      <c r="M786" s="154" t="inlineStr">
        <is>
          <t>6a42a266b248d0e04b1bfd47</t>
        </is>
      </c>
    </row>
    <row r="787">
      <c r="A787" s="154" t="inlineStr">
        <is>
          <t>Project Notos</t>
        </is>
      </c>
      <c r="B787" s="154" t="inlineStr">
        <is>
          <t>2.2.7.1</t>
        </is>
      </c>
      <c r="C787" s="155" t="inlineStr">
        <is>
          <t>Please also refer to 2.11.6.2</t>
        </is>
      </c>
      <c r="D787" s="156" t="n"/>
      <c r="E787" s="156" t="n"/>
      <c r="F787" s="157" t="inlineStr">
        <is>
          <t>Please also refer to 2.11.6.2</t>
        </is>
      </c>
      <c r="G787" s="154" t="inlineStr">
        <is>
          <t>PLACEHOLDER</t>
        </is>
      </c>
      <c r="H787" s="154" t="n"/>
      <c r="I787" s="154" t="inlineStr">
        <is>
          <t>DOWNLOAD</t>
        </is>
      </c>
      <c r="J787" s="154" t="n"/>
      <c r="K787" s="154" t="inlineStr">
        <is>
          <t>Unread</t>
        </is>
      </c>
      <c r="L787" s="158" t="n">
        <v>46205.58950908565</v>
      </c>
      <c r="M787" s="154" t="inlineStr">
        <is>
          <t>6a42a2dc44698f5636156e5b</t>
        </is>
      </c>
    </row>
    <row r="788">
      <c r="A788" s="149" t="inlineStr">
        <is>
          <t>Project Notos</t>
        </is>
      </c>
      <c r="B788" s="149" t="inlineStr">
        <is>
          <t>2.3</t>
        </is>
      </c>
      <c r="C788" s="17" t="inlineStr">
        <is>
          <t>Innerio Heat Exchanger (IHE)</t>
        </is>
      </c>
      <c r="D788" s="25" t="n"/>
      <c r="F788" s="150">
        <f>HYPERLINK("https://app.global.datasite.com/platform/container/696652ec0dc07cc02daa26a0/documents/content/index/698cb7213613a095ea713e50","Innerio Heat Exchanger (IHE)")</f>
        <v/>
      </c>
      <c r="G788" s="149" t="inlineStr">
        <is>
          <t>FOLDER</t>
        </is>
      </c>
      <c r="H788" s="149" t="n"/>
      <c r="I788" s="149" t="inlineStr">
        <is>
          <t>DOWNLOAD</t>
        </is>
      </c>
      <c r="J788" s="149" t="n"/>
      <c r="K788" s="149" t="inlineStr">
        <is>
          <t>Unread</t>
        </is>
      </c>
      <c r="L788" s="152" t="n">
        <v>46176.92764111111</v>
      </c>
      <c r="M788" s="149" t="inlineStr">
        <is>
          <t>698cb7213613a095ea713e50</t>
        </is>
      </c>
    </row>
    <row r="789">
      <c r="A789" s="149" t="inlineStr">
        <is>
          <t>Project Notos</t>
        </is>
      </c>
      <c r="B789" s="149" t="inlineStr">
        <is>
          <t>2.3.1</t>
        </is>
      </c>
      <c r="C789" s="17" t="inlineStr">
        <is>
          <t>Annual Accounts</t>
        </is>
      </c>
      <c r="D789" s="25" t="n"/>
      <c r="F789" s="150">
        <f>HYPERLINK("https://app.global.datasite.com/platform/container/696652ec0dc07cc02daa26a0/documents/content/index/698cc36d91a86cab0ede7cf3","Annual Accounts")</f>
        <v/>
      </c>
      <c r="G789" s="149" t="inlineStr">
        <is>
          <t>FOLDER</t>
        </is>
      </c>
      <c r="H789" s="149" t="n"/>
      <c r="I789" s="149" t="inlineStr">
        <is>
          <t>DOWNLOAD</t>
        </is>
      </c>
      <c r="J789" s="149" t="n"/>
      <c r="K789" s="149" t="inlineStr">
        <is>
          <t>Unread</t>
        </is>
      </c>
      <c r="L789" s="152" t="n">
        <v>46176.92764111111</v>
      </c>
      <c r="M789" s="149" t="inlineStr">
        <is>
          <t>698cc36d91a86cab0ede7cf3</t>
        </is>
      </c>
    </row>
    <row r="790">
      <c r="A790" t="inlineStr">
        <is>
          <t>Project Notos</t>
        </is>
      </c>
      <c r="B790" t="inlineStr">
        <is>
          <t>2.3.1.1</t>
        </is>
      </c>
      <c r="C790" s="15" t="inlineStr">
        <is>
          <t>IHE Annual Accounts 31.12.2024</t>
        </is>
      </c>
      <c r="D790" s="20" t="inlineStr">
        <is>
          <t>Out-of-Scope</t>
        </is>
      </c>
      <c r="F790" s="151">
        <f>HYPERLINK("https://app.global.datasite.com/webviewer/?projectId=696652ec0dc07cc02daa26a0&amp;documentId=69c53a458afd4a56cbca3d8e","IHE Annual Accounts 31.12.2024")</f>
        <v/>
      </c>
      <c r="G790" t="inlineStr">
        <is>
          <t>DOCUMENT</t>
        </is>
      </c>
      <c r="H790" t="inlineStr">
        <is>
          <t>pdf</t>
        </is>
      </c>
      <c r="I790" t="inlineStr">
        <is>
          <t>DOWNLOAD</t>
        </is>
      </c>
      <c r="J790" t="n">
        <v>1.36670303</v>
      </c>
      <c r="K790" t="inlineStr">
        <is>
          <t>Unread</t>
        </is>
      </c>
      <c r="L790" s="153" t="n">
        <v>46176.92764111111</v>
      </c>
      <c r="M790" t="inlineStr">
        <is>
          <t>69c53a458afd4a56cbca3d8e</t>
        </is>
      </c>
    </row>
    <row r="791">
      <c r="A791" t="inlineStr">
        <is>
          <t>Project Notos</t>
        </is>
      </c>
      <c r="B791" t="inlineStr">
        <is>
          <t>2.3.1.2</t>
        </is>
      </c>
      <c r="C791" s="15" t="inlineStr">
        <is>
          <t>IHE Annual Accounts 31.12.2023</t>
        </is>
      </c>
      <c r="D791" s="20" t="inlineStr">
        <is>
          <t>Out-of-Scope</t>
        </is>
      </c>
      <c r="F791" s="151">
        <f>HYPERLINK("https://app.global.datasite.com/webviewer/?projectId=696652ec0dc07cc02daa26a0&amp;documentId=69c53e1af823513bf7f4f4ae","IHE Annual Accounts 31.12.2023")</f>
        <v/>
      </c>
      <c r="G791" t="inlineStr">
        <is>
          <t>DOCUMENT</t>
        </is>
      </c>
      <c r="H791" t="inlineStr">
        <is>
          <t>pdf</t>
        </is>
      </c>
      <c r="I791" t="inlineStr">
        <is>
          <t>DOWNLOAD</t>
        </is>
      </c>
      <c r="J791" t="n">
        <v>3.55048942</v>
      </c>
      <c r="K791" t="inlineStr">
        <is>
          <t>Unread</t>
        </is>
      </c>
      <c r="L791" s="153" t="n">
        <v>46176.92764111111</v>
      </c>
      <c r="M791" t="inlineStr">
        <is>
          <t>69c53e1af823513bf7f4f4ae</t>
        </is>
      </c>
    </row>
    <row r="792">
      <c r="A792" t="inlineStr">
        <is>
          <t>Project Notos</t>
        </is>
      </c>
      <c r="B792" t="inlineStr">
        <is>
          <t>2.3.1.3</t>
        </is>
      </c>
      <c r="C792" s="15" t="inlineStr">
        <is>
          <t>IHE Annual Accounts 31.12.2022</t>
        </is>
      </c>
      <c r="D792" s="20" t="inlineStr">
        <is>
          <t>Out-of-Scope</t>
        </is>
      </c>
      <c r="F792" s="151">
        <f>HYPERLINK("https://app.global.datasite.com/webviewer/?projectId=696652ec0dc07cc02daa26a0&amp;documentId=69c55ddff1bc84f53ce8a348","IHE Annual Accounts 31.12.2022")</f>
        <v/>
      </c>
      <c r="G792" t="inlineStr">
        <is>
          <t>DOCUMENT</t>
        </is>
      </c>
      <c r="H792" t="inlineStr">
        <is>
          <t>pdf</t>
        </is>
      </c>
      <c r="I792" t="inlineStr">
        <is>
          <t>DOWNLOAD</t>
        </is>
      </c>
      <c r="J792" t="n">
        <v>0.84728717</v>
      </c>
      <c r="K792" t="inlineStr">
        <is>
          <t>Unread</t>
        </is>
      </c>
      <c r="L792" s="153" t="n">
        <v>46176.92764111111</v>
      </c>
      <c r="M792" t="inlineStr">
        <is>
          <t>69c55ddff1bc84f53ce8a348</t>
        </is>
      </c>
    </row>
    <row r="793">
      <c r="A793" t="inlineStr">
        <is>
          <t>Project Notos</t>
        </is>
      </c>
      <c r="B793" t="inlineStr">
        <is>
          <t>2.3.1.4</t>
        </is>
      </c>
      <c r="C793" s="15" t="inlineStr">
        <is>
          <t>IHE Annual Accounts 31.12.2025 &amp; Attachments</t>
        </is>
      </c>
      <c r="D793" s="20" t="inlineStr">
        <is>
          <t>Out-of-Scope</t>
        </is>
      </c>
      <c r="F793" s="151">
        <f>HYPERLINK("https://app.global.datasite.com/webviewer/?projectId=696652ec0dc07cc02daa26a0&amp;documentId=69e8e0ec5ba396ff0cbc3e00","IHE Annual Accounts 31.12.2025 &amp; Attachments")</f>
        <v/>
      </c>
      <c r="G793" t="inlineStr">
        <is>
          <t>DOCUMENT</t>
        </is>
      </c>
      <c r="H793" t="inlineStr">
        <is>
          <t>pdf</t>
        </is>
      </c>
      <c r="I793" t="inlineStr">
        <is>
          <t>DOWNLOAD</t>
        </is>
      </c>
      <c r="J793" t="n">
        <v>5.59316158</v>
      </c>
      <c r="K793" t="inlineStr">
        <is>
          <t>Unread</t>
        </is>
      </c>
      <c r="L793" s="153" t="n">
        <v>46176.92764111111</v>
      </c>
      <c r="M793" t="inlineStr">
        <is>
          <t>69e8e0ec5ba396ff0cbc3e00</t>
        </is>
      </c>
    </row>
    <row r="794">
      <c r="A794" t="inlineStr">
        <is>
          <t>Project Notos</t>
        </is>
      </c>
      <c r="B794" t="inlineStr">
        <is>
          <t>2.3.1.5</t>
        </is>
      </c>
      <c r="C794" s="15" t="inlineStr">
        <is>
          <t>IHE Events after the reporting date 2025</t>
        </is>
      </c>
      <c r="D794" s="20" t="inlineStr">
        <is>
          <t>Out-of-Scope</t>
        </is>
      </c>
      <c r="F794" s="151">
        <f>HYPERLINK("https://app.global.datasite.com/webviewer/?projectId=696652ec0dc07cc02daa26a0&amp;documentId=69e8e1034d0c4545a3da3346","IHE Events after the reporting date 2025")</f>
        <v/>
      </c>
      <c r="G794" t="inlineStr">
        <is>
          <t>DOCUMENT</t>
        </is>
      </c>
      <c r="H794" t="inlineStr">
        <is>
          <t>pdf</t>
        </is>
      </c>
      <c r="I794" t="inlineStr">
        <is>
          <t>DOWNLOAD</t>
        </is>
      </c>
      <c r="J794" t="n">
        <v>0.55429553</v>
      </c>
      <c r="K794" t="inlineStr">
        <is>
          <t>Unread</t>
        </is>
      </c>
      <c r="L794" s="153" t="n">
        <v>46176.92764111111</v>
      </c>
      <c r="M794" t="inlineStr">
        <is>
          <t>69e8e1034d0c4545a3da3346</t>
        </is>
      </c>
    </row>
    <row r="795">
      <c r="A795" t="inlineStr">
        <is>
          <t>Project Notos</t>
        </is>
      </c>
      <c r="B795" t="inlineStr">
        <is>
          <t>2.3.1.6</t>
        </is>
      </c>
      <c r="C795" s="15" t="inlineStr">
        <is>
          <t>IHE Contingent liabilities 2025</t>
        </is>
      </c>
      <c r="D795" s="20" t="inlineStr">
        <is>
          <t>Out-of-Scope</t>
        </is>
      </c>
      <c r="F795" s="151">
        <f>HYPERLINK("https://app.global.datasite.com/webviewer/?projectId=696652ec0dc07cc02daa26a0&amp;documentId=69e8e1034d0c4545a3da3347","IHE Contingent liabilities 2025")</f>
        <v/>
      </c>
      <c r="G795" t="inlineStr">
        <is>
          <t>DOCUMENT</t>
        </is>
      </c>
      <c r="H795" t="inlineStr">
        <is>
          <t>pdf</t>
        </is>
      </c>
      <c r="I795" t="inlineStr">
        <is>
          <t>DOWNLOAD</t>
        </is>
      </c>
      <c r="J795" t="n">
        <v>0.26763248</v>
      </c>
      <c r="K795" t="inlineStr">
        <is>
          <t>Unread</t>
        </is>
      </c>
      <c r="L795" s="153" t="n">
        <v>46176.92764111111</v>
      </c>
      <c r="M795" t="inlineStr">
        <is>
          <t>69e8e1034d0c4545a3da3347</t>
        </is>
      </c>
    </row>
    <row r="796">
      <c r="A796" t="inlineStr">
        <is>
          <t>Project Notos</t>
        </is>
      </c>
      <c r="B796" t="inlineStr">
        <is>
          <t>2.3.1.7</t>
        </is>
      </c>
      <c r="C796" s="15" t="inlineStr">
        <is>
          <t>IHE Lagebericht 2025</t>
        </is>
      </c>
      <c r="D796" s="20" t="inlineStr">
        <is>
          <t>Out-of-Scope</t>
        </is>
      </c>
      <c r="F796" s="151">
        <f>HYPERLINK("https://app.global.datasite.com/webviewer/?projectId=696652ec0dc07cc02daa26a0&amp;documentId=69e8e1034d0c4545a3da3348","IHE Lagebericht 2025")</f>
        <v/>
      </c>
      <c r="G796" t="inlineStr">
        <is>
          <t>DOCUMENT</t>
        </is>
      </c>
      <c r="H796" t="inlineStr">
        <is>
          <t>pdf</t>
        </is>
      </c>
      <c r="I796" t="inlineStr">
        <is>
          <t>DOWNLOAD</t>
        </is>
      </c>
      <c r="J796" t="n">
        <v>6.7804737</v>
      </c>
      <c r="K796" t="inlineStr">
        <is>
          <t>Unread</t>
        </is>
      </c>
      <c r="L796" s="153" t="n">
        <v>46176.92764111111</v>
      </c>
      <c r="M796" t="inlineStr">
        <is>
          <t>69e8e1034d0c4545a3da3348</t>
        </is>
      </c>
    </row>
    <row r="797">
      <c r="A797" t="inlineStr">
        <is>
          <t>Project Notos</t>
        </is>
      </c>
      <c r="B797" t="inlineStr">
        <is>
          <t>2.3.1.8</t>
        </is>
      </c>
      <c r="C797" s="15" t="inlineStr">
        <is>
          <t>IHE Management representation letter 2025</t>
        </is>
      </c>
      <c r="D797" s="20" t="inlineStr">
        <is>
          <t>Out-of-Scope</t>
        </is>
      </c>
      <c r="F797" s="151">
        <f>HYPERLINK("https://app.global.datasite.com/webviewer/?projectId=696652ec0dc07cc02daa26a0&amp;documentId=69e8e1034d0c4545a3da3349","IHE Management representation letter 2025")</f>
        <v/>
      </c>
      <c r="G797" t="inlineStr">
        <is>
          <t>DOCUMENT</t>
        </is>
      </c>
      <c r="H797" t="inlineStr">
        <is>
          <t>pdf</t>
        </is>
      </c>
      <c r="I797" t="inlineStr">
        <is>
          <t>DOWNLOAD</t>
        </is>
      </c>
      <c r="J797" t="n">
        <v>2.74493503</v>
      </c>
      <c r="K797" t="inlineStr">
        <is>
          <t>Unread</t>
        </is>
      </c>
      <c r="L797" s="153" t="n">
        <v>46176.92764111111</v>
      </c>
      <c r="M797" t="inlineStr">
        <is>
          <t>69e8e1034d0c4545a3da3349</t>
        </is>
      </c>
    </row>
    <row r="798">
      <c r="A798" t="inlineStr">
        <is>
          <t>Project Notos</t>
        </is>
      </c>
      <c r="B798" t="inlineStr">
        <is>
          <t>2.3.1.9</t>
        </is>
      </c>
      <c r="C798" s="15" t="inlineStr">
        <is>
          <t>IHE_Annual Accounts_31.12.2025_Auditor Report</t>
        </is>
      </c>
      <c r="D798" s="20" t="inlineStr">
        <is>
          <t>Out-of-Scope</t>
        </is>
      </c>
      <c r="F798" s="151">
        <f>HYPERLINK("https://app.global.datasite.com/webviewer/?projectId=696652ec0dc07cc02daa26a0&amp;documentId=69fa0a71bf5a456c5e3d33eb","IHE_Annual Accounts_31.12.2025_Auditor Report")</f>
        <v/>
      </c>
      <c r="G798" t="inlineStr">
        <is>
          <t>DOCUMENT</t>
        </is>
      </c>
      <c r="H798" t="inlineStr">
        <is>
          <t>pdf</t>
        </is>
      </c>
      <c r="I798" t="inlineStr">
        <is>
          <t>DOWNLOAD</t>
        </is>
      </c>
      <c r="J798" t="n">
        <v>2.31386566</v>
      </c>
      <c r="K798" t="inlineStr">
        <is>
          <t>Unread</t>
        </is>
      </c>
      <c r="L798" s="153" t="n">
        <v>46176.92764111111</v>
      </c>
      <c r="M798" t="inlineStr">
        <is>
          <t>69fa0a71bf5a456c5e3d33eb</t>
        </is>
      </c>
    </row>
    <row r="799">
      <c r="A799" s="149" t="inlineStr">
        <is>
          <t>Project Notos</t>
        </is>
      </c>
      <c r="B799" s="149" t="inlineStr">
        <is>
          <t>2.3.2</t>
        </is>
      </c>
      <c r="C799" s="17" t="inlineStr">
        <is>
          <t>CAPEX</t>
        </is>
      </c>
      <c r="D799" s="25" t="n"/>
      <c r="F799" s="150">
        <f>HYPERLINK("https://app.global.datasite.com/platform/container/696652ec0dc07cc02daa26a0/documents/content/index/69e8dc92f8d514b148c33180","CAPEX")</f>
        <v/>
      </c>
      <c r="G799" s="149" t="inlineStr">
        <is>
          <t>FOLDER</t>
        </is>
      </c>
      <c r="H799" s="149" t="n"/>
      <c r="I799" s="149" t="inlineStr">
        <is>
          <t>DOWNLOAD</t>
        </is>
      </c>
      <c r="J799" s="149" t="n"/>
      <c r="K799" s="149" t="inlineStr">
        <is>
          <t>Unread</t>
        </is>
      </c>
      <c r="L799" s="152" t="n">
        <v>46176.92764111111</v>
      </c>
      <c r="M799" s="149" t="inlineStr">
        <is>
          <t>69e8dc92f8d514b148c33180</t>
        </is>
      </c>
    </row>
    <row r="800">
      <c r="A800" t="inlineStr">
        <is>
          <t>Project Notos</t>
        </is>
      </c>
      <c r="B800" t="inlineStr">
        <is>
          <t>2.3.2.1</t>
        </is>
      </c>
      <c r="C800" s="15" t="inlineStr">
        <is>
          <t>ITT_CAPEX 2023-2025 (Duplicate - wrong folder)</t>
        </is>
      </c>
      <c r="D800" s="20" t="inlineStr">
        <is>
          <t>Out-of-Scope</t>
        </is>
      </c>
      <c r="F800" s="151">
        <f>HYPERLINK("https://app.global.datasite.com/webviewer/?projectId=696652ec0dc07cc02daa26a0&amp;documentId=69e8dc9a0d0e7f88e23852b6","ITT_CAPEX 2023-2025 (Duplicate - wrong folder)")</f>
        <v/>
      </c>
      <c r="G800" t="inlineStr">
        <is>
          <t>DOCUMENT</t>
        </is>
      </c>
      <c r="H800" t="inlineStr">
        <is>
          <t>xlsx</t>
        </is>
      </c>
      <c r="I800" t="inlineStr">
        <is>
          <t>DOWNLOAD</t>
        </is>
      </c>
      <c r="J800" t="n">
        <v>0.01216506</v>
      </c>
      <c r="K800" t="inlineStr">
        <is>
          <t>Unread</t>
        </is>
      </c>
      <c r="L800" s="153" t="n">
        <v>46176.92764111111</v>
      </c>
      <c r="M800" t="inlineStr">
        <is>
          <t>69e8dc9a0d0e7f88e23852b6</t>
        </is>
      </c>
    </row>
    <row r="801">
      <c r="A801" t="inlineStr">
        <is>
          <t>Project Notos</t>
        </is>
      </c>
      <c r="B801" t="inlineStr">
        <is>
          <t>2.3.2.2</t>
        </is>
      </c>
      <c r="C801" s="15" t="inlineStr">
        <is>
          <t>IHE_CAPEX 2023-2025</t>
        </is>
      </c>
      <c r="D801" s="20" t="inlineStr">
        <is>
          <t>Out-of-Scope</t>
        </is>
      </c>
      <c r="F801" s="151">
        <f>HYPERLINK("https://app.global.datasite.com/webviewer/?projectId=696652ec0dc07cc02daa26a0&amp;documentId=69fa199df6e32c2ab6c617ca","IHE_CAPEX 2023-2025")</f>
        <v/>
      </c>
      <c r="G801" t="inlineStr">
        <is>
          <t>DOCUMENT</t>
        </is>
      </c>
      <c r="H801" t="inlineStr">
        <is>
          <t>xlsx</t>
        </is>
      </c>
      <c r="I801" t="inlineStr">
        <is>
          <t>DOWNLOAD</t>
        </is>
      </c>
      <c r="J801" t="n">
        <v>0.01012802</v>
      </c>
      <c r="K801" t="inlineStr">
        <is>
          <t>Unread</t>
        </is>
      </c>
      <c r="L801" s="153" t="n">
        <v>46176.92764111111</v>
      </c>
      <c r="M801" t="inlineStr">
        <is>
          <t>69fa199df6e32c2ab6c617ca</t>
        </is>
      </c>
    </row>
    <row r="802">
      <c r="A802" s="149" t="inlineStr">
        <is>
          <t>Project Notos</t>
        </is>
      </c>
      <c r="B802" s="149" t="inlineStr">
        <is>
          <t>2.3.3</t>
        </is>
      </c>
      <c r="C802" s="17" t="inlineStr">
        <is>
          <t>Payables / Receivables Aging</t>
        </is>
      </c>
      <c r="D802" s="25" t="n"/>
      <c r="F802" s="150">
        <f>HYPERLINK("https://app.global.datasite.com/platform/container/696652ec0dc07cc02daa26a0/documents/content/index/6a1dc1d97f247777b5a3b1c6","Payables / Receivables Aging")</f>
        <v/>
      </c>
      <c r="G802" s="149" t="inlineStr">
        <is>
          <t>FOLDER</t>
        </is>
      </c>
      <c r="H802" s="149" t="n"/>
      <c r="I802" s="149" t="inlineStr">
        <is>
          <t>DOWNLOAD</t>
        </is>
      </c>
      <c r="J802" s="149" t="n"/>
      <c r="K802" s="149" t="inlineStr">
        <is>
          <t>Unread</t>
        </is>
      </c>
      <c r="L802" s="152" t="n">
        <v>46176.92764111111</v>
      </c>
      <c r="M802" s="149" t="inlineStr">
        <is>
          <t>6a1dc1d97f247777b5a3b1c6</t>
        </is>
      </c>
    </row>
    <row r="803">
      <c r="A803" t="inlineStr">
        <is>
          <t>Project Notos</t>
        </is>
      </c>
      <c r="B803" t="inlineStr">
        <is>
          <t>2.3.3.1</t>
        </is>
      </c>
      <c r="C803" s="15" t="inlineStr">
        <is>
          <t>IHE_aging AP_30.04.2026</t>
        </is>
      </c>
      <c r="D803" s="20" t="inlineStr">
        <is>
          <t>Out-of-Scope</t>
        </is>
      </c>
      <c r="F803" s="151">
        <f>HYPERLINK("https://app.global.datasite.com/webviewer/?projectId=696652ec0dc07cc02daa26a0&amp;documentId=6a1dc1e17f247777b5a3b1cd","IHE_aging AP_30.04.2026")</f>
        <v/>
      </c>
      <c r="G803" t="inlineStr">
        <is>
          <t>DOCUMENT</t>
        </is>
      </c>
      <c r="H803" t="inlineStr">
        <is>
          <t>xlsx</t>
        </is>
      </c>
      <c r="I803" t="inlineStr">
        <is>
          <t>DOWNLOAD</t>
        </is>
      </c>
      <c r="J803" t="n">
        <v>0.08924007</v>
      </c>
      <c r="K803" t="inlineStr">
        <is>
          <t>Unread</t>
        </is>
      </c>
      <c r="L803" s="153" t="n">
        <v>46176.92764111111</v>
      </c>
      <c r="M803" t="inlineStr">
        <is>
          <t>6a1dc1e17f247777b5a3b1cd</t>
        </is>
      </c>
    </row>
    <row r="804">
      <c r="A804" t="inlineStr">
        <is>
          <t>Project Notos</t>
        </is>
      </c>
      <c r="B804" t="inlineStr">
        <is>
          <t>2.3.3.2</t>
        </is>
      </c>
      <c r="C804" t="inlineStr">
        <is>
          <t>IHE_aging AR_31.05.2026</t>
        </is>
      </c>
      <c r="D804" s="20" t="inlineStr">
        <is>
          <t>Out-of-Scope</t>
        </is>
      </c>
      <c r="F804" s="151" t="n">
        <v>0</v>
      </c>
      <c r="G804" t="inlineStr">
        <is>
          <t>DOCUMENT</t>
        </is>
      </c>
      <c r="H804" t="inlineStr">
        <is>
          <t>xlsx</t>
        </is>
      </c>
      <c r="I804" t="inlineStr">
        <is>
          <t>DOWNLOAD</t>
        </is>
      </c>
      <c r="J804" t="n">
        <v>0.01377296</v>
      </c>
      <c r="K804" t="inlineStr">
        <is>
          <t>Unread</t>
        </is>
      </c>
      <c r="L804" s="153" t="n">
        <v>46181.86989681713</v>
      </c>
      <c r="M804" t="inlineStr">
        <is>
          <t>6a270b50481d4ded4b56cbca</t>
        </is>
      </c>
    </row>
    <row r="805">
      <c r="A805" t="inlineStr">
        <is>
          <t>Project Notos</t>
        </is>
      </c>
      <c r="B805" t="inlineStr">
        <is>
          <t>2.3.3.3</t>
        </is>
      </c>
      <c r="C805" t="inlineStr">
        <is>
          <t>IHE_aging AR_31.12.2023</t>
        </is>
      </c>
      <c r="D805" s="20" t="inlineStr">
        <is>
          <t>Out-of-Scope</t>
        </is>
      </c>
      <c r="E805" s="35" t="n"/>
      <c r="F805" s="151" t="n">
        <v>0</v>
      </c>
      <c r="G805" t="inlineStr">
        <is>
          <t>DOCUMENT</t>
        </is>
      </c>
      <c r="H805" t="inlineStr">
        <is>
          <t>xlsx</t>
        </is>
      </c>
      <c r="I805" t="inlineStr">
        <is>
          <t>DOWNLOAD</t>
        </is>
      </c>
      <c r="J805" t="n">
        <v>0.02396297</v>
      </c>
      <c r="K805" t="inlineStr">
        <is>
          <t>Unread</t>
        </is>
      </c>
      <c r="L805" s="153" t="n">
        <v>46189.9065921875</v>
      </c>
      <c r="M805" t="inlineStr">
        <is>
          <t>6a31a56de4a67e003be0e840</t>
        </is>
      </c>
    </row>
    <row r="806">
      <c r="A806" t="inlineStr">
        <is>
          <t>Project Notos</t>
        </is>
      </c>
      <c r="B806" t="inlineStr">
        <is>
          <t>2.3.3.4</t>
        </is>
      </c>
      <c r="C806" t="inlineStr">
        <is>
          <t>IHE_aging AR_31.12.2024</t>
        </is>
      </c>
      <c r="D806" s="20" t="inlineStr">
        <is>
          <t>Out-of-Scope</t>
        </is>
      </c>
      <c r="E806" s="35" t="n"/>
      <c r="F806" s="151" t="n">
        <v>0</v>
      </c>
      <c r="G806" t="inlineStr">
        <is>
          <t>DOCUMENT</t>
        </is>
      </c>
      <c r="H806" t="inlineStr">
        <is>
          <t>xlsx</t>
        </is>
      </c>
      <c r="I806" t="inlineStr">
        <is>
          <t>DOWNLOAD</t>
        </is>
      </c>
      <c r="J806" t="n">
        <v>0.02347278</v>
      </c>
      <c r="K806" t="inlineStr">
        <is>
          <t>Unread</t>
        </is>
      </c>
      <c r="L806" s="153" t="n">
        <v>46189.9065921875</v>
      </c>
      <c r="M806" t="inlineStr">
        <is>
          <t>6a31a59da5909868ffeb8b77</t>
        </is>
      </c>
    </row>
    <row r="807">
      <c r="A807" t="inlineStr">
        <is>
          <t>Project Notos</t>
        </is>
      </c>
      <c r="B807" t="inlineStr">
        <is>
          <t>2.3.3.5</t>
        </is>
      </c>
      <c r="C807" t="inlineStr">
        <is>
          <t>IHE_aging AR_31.12.2025</t>
        </is>
      </c>
      <c r="D807" s="20" t="inlineStr">
        <is>
          <t>Out-of-Scope</t>
        </is>
      </c>
      <c r="E807" s="35" t="n"/>
      <c r="F807" s="151" t="n">
        <v>0</v>
      </c>
      <c r="G807" t="inlineStr">
        <is>
          <t>DOCUMENT</t>
        </is>
      </c>
      <c r="H807" t="inlineStr">
        <is>
          <t>xlsx</t>
        </is>
      </c>
      <c r="I807" t="inlineStr">
        <is>
          <t>DOWNLOAD</t>
        </is>
      </c>
      <c r="J807" t="n">
        <v>0.02230834</v>
      </c>
      <c r="K807" t="inlineStr">
        <is>
          <t>Unread</t>
        </is>
      </c>
      <c r="L807" s="153" t="n">
        <v>46189.9065921875</v>
      </c>
      <c r="M807" t="inlineStr">
        <is>
          <t>6a31a5c0fff4d52aa3d9b92b</t>
        </is>
      </c>
    </row>
    <row r="808">
      <c r="A808" t="inlineStr">
        <is>
          <t>Project Notos</t>
        </is>
      </c>
      <c r="B808" t="inlineStr">
        <is>
          <t>2.3.3.6</t>
        </is>
      </c>
      <c r="C808" t="inlineStr">
        <is>
          <t>IHE_aging AP_31.12.2023</t>
        </is>
      </c>
      <c r="D808" s="20" t="inlineStr">
        <is>
          <t>Out-of-Scope</t>
        </is>
      </c>
      <c r="E808" s="35" t="n"/>
      <c r="F808" s="151" t="n">
        <v>0</v>
      </c>
      <c r="G808" t="inlineStr">
        <is>
          <t>DOCUMENT</t>
        </is>
      </c>
      <c r="H808" t="inlineStr">
        <is>
          <t>xlsx</t>
        </is>
      </c>
      <c r="I808" t="inlineStr">
        <is>
          <t>DOWNLOAD</t>
        </is>
      </c>
      <c r="J808" t="n">
        <v>0.10246181</v>
      </c>
      <c r="K808" t="inlineStr">
        <is>
          <t>Unread</t>
        </is>
      </c>
      <c r="L808" s="153" t="n">
        <v>46189.9065921875</v>
      </c>
      <c r="M808" t="inlineStr">
        <is>
          <t>6a31a641a5909868ffeb8bd7</t>
        </is>
      </c>
    </row>
    <row r="809">
      <c r="A809" t="inlineStr">
        <is>
          <t>Project Notos</t>
        </is>
      </c>
      <c r="B809" t="inlineStr">
        <is>
          <t>2.3.3.7</t>
        </is>
      </c>
      <c r="C809" t="inlineStr">
        <is>
          <t>IHE_aging AP_31.12.2024</t>
        </is>
      </c>
      <c r="D809" s="20" t="inlineStr">
        <is>
          <t>Out-of-Scope</t>
        </is>
      </c>
      <c r="E809" s="35" t="n"/>
      <c r="F809" s="151" t="n">
        <v>0</v>
      </c>
      <c r="G809" t="inlineStr">
        <is>
          <t>DOCUMENT</t>
        </is>
      </c>
      <c r="H809" t="inlineStr">
        <is>
          <t>xlsx</t>
        </is>
      </c>
      <c r="I809" t="inlineStr">
        <is>
          <t>DOWNLOAD</t>
        </is>
      </c>
      <c r="J809" t="n">
        <v>0.07972049</v>
      </c>
      <c r="K809" t="inlineStr">
        <is>
          <t>Unread</t>
        </is>
      </c>
      <c r="L809" s="153" t="n">
        <v>46189.9065921875</v>
      </c>
      <c r="M809" t="inlineStr">
        <is>
          <t>6a31a68eb84cc092b0b9acea</t>
        </is>
      </c>
    </row>
    <row r="810">
      <c r="A810" t="inlineStr">
        <is>
          <t>Project Notos</t>
        </is>
      </c>
      <c r="B810" t="inlineStr">
        <is>
          <t>2.3.3.8</t>
        </is>
      </c>
      <c r="C810" t="inlineStr">
        <is>
          <t>IHE_aging AP_31.12.2025</t>
        </is>
      </c>
      <c r="D810" s="20" t="inlineStr">
        <is>
          <t>Out-of-Scope</t>
        </is>
      </c>
      <c r="E810" s="35" t="n"/>
      <c r="F810" s="151" t="n">
        <v>0</v>
      </c>
      <c r="G810" t="inlineStr">
        <is>
          <t>DOCUMENT</t>
        </is>
      </c>
      <c r="H810" t="inlineStr">
        <is>
          <t>xlsx</t>
        </is>
      </c>
      <c r="I810" t="inlineStr">
        <is>
          <t>DOWNLOAD</t>
        </is>
      </c>
      <c r="J810" t="n">
        <v>0.09390448999999999</v>
      </c>
      <c r="K810" t="inlineStr">
        <is>
          <t>Unread</t>
        </is>
      </c>
      <c r="L810" s="153" t="n">
        <v>46189.9065921875</v>
      </c>
      <c r="M810" t="inlineStr">
        <is>
          <t>6a31a7040da614c011c49923</t>
        </is>
      </c>
    </row>
    <row r="811" s="148">
      <c r="A811" s="149" t="inlineStr">
        <is>
          <t>Project Notos</t>
        </is>
      </c>
      <c r="B811" s="149" t="inlineStr">
        <is>
          <t>2.3.4</t>
        </is>
      </c>
      <c r="C811" s="149" t="inlineStr">
        <is>
          <t>Fixed Assets</t>
        </is>
      </c>
      <c r="D811" s="149" t="n"/>
      <c r="E811" s="35" t="n"/>
      <c r="F811" s="150" t="n">
        <v>0</v>
      </c>
      <c r="G811" s="149" t="inlineStr">
        <is>
          <t>FOLDER</t>
        </is>
      </c>
      <c r="H811" s="149" t="n"/>
      <c r="I811" s="149" t="inlineStr">
        <is>
          <t>DOWNLOAD</t>
        </is>
      </c>
      <c r="J811" s="149" t="n"/>
      <c r="K811" s="149" t="inlineStr">
        <is>
          <t>Unread</t>
        </is>
      </c>
      <c r="L811" s="152" t="n">
        <v>46189.95339711806</v>
      </c>
      <c r="M811" s="149" t="inlineStr">
        <is>
          <t>6a3199e1b84cc092b0b9ab02</t>
        </is>
      </c>
    </row>
    <row r="812">
      <c r="A812" t="inlineStr">
        <is>
          <t>Project Notos</t>
        </is>
      </c>
      <c r="B812" t="inlineStr">
        <is>
          <t>2.3.4.1</t>
        </is>
      </c>
      <c r="C812" t="inlineStr">
        <is>
          <t>IHE_Fixed Asset Register_31.12.2025</t>
        </is>
      </c>
      <c r="D812" s="20" t="inlineStr">
        <is>
          <t>Out-of-Scope</t>
        </is>
      </c>
      <c r="E812" s="35" t="n"/>
      <c r="F812" s="151" t="n">
        <v>0</v>
      </c>
      <c r="G812" t="inlineStr">
        <is>
          <t>DOCUMENT</t>
        </is>
      </c>
      <c r="H812" t="inlineStr">
        <is>
          <t>xls</t>
        </is>
      </c>
      <c r="I812" t="inlineStr">
        <is>
          <t>DOWNLOAD</t>
        </is>
      </c>
      <c r="J812" t="n">
        <v>0.35029792</v>
      </c>
      <c r="K812" t="inlineStr">
        <is>
          <t>Unread</t>
        </is>
      </c>
      <c r="L812" s="153" t="n">
        <v>46189.95339664352</v>
      </c>
      <c r="M812" t="inlineStr">
        <is>
          <t>6a31b70b9fbab98d7c439965</t>
        </is>
      </c>
    </row>
    <row r="813">
      <c r="A813" s="154" t="inlineStr">
        <is>
          <t>Project Notos</t>
        </is>
      </c>
      <c r="B813" s="154" t="inlineStr">
        <is>
          <t>2.3.5</t>
        </is>
      </c>
      <c r="C813" s="155" t="inlineStr">
        <is>
          <t>Inventory</t>
        </is>
      </c>
      <c r="D813" s="156" t="n"/>
      <c r="E813" s="156" t="n"/>
      <c r="F813" s="157">
        <f>HYPERLINK("https://app.global.datasite.com/platform/container/696652ec0dc07cc02daa26a0/documents/content/index/6a3a7f04a44453336015d84b","Inventory")</f>
        <v/>
      </c>
      <c r="G813" s="154" t="inlineStr">
        <is>
          <t>FOLDER</t>
        </is>
      </c>
      <c r="H813" s="154" t="n"/>
      <c r="I813" s="154" t="inlineStr">
        <is>
          <t>DOWNLOAD</t>
        </is>
      </c>
      <c r="J813" s="154" t="n"/>
      <c r="K813" s="154" t="inlineStr">
        <is>
          <t>Unread</t>
        </is>
      </c>
      <c r="L813" s="158" t="n">
        <v>46196.70694166666</v>
      </c>
      <c r="M813" s="154" t="inlineStr">
        <is>
          <t>6a3a7f04a44453336015d84b</t>
        </is>
      </c>
    </row>
    <row r="814">
      <c r="A814" s="154" t="inlineStr">
        <is>
          <t>Project Notos</t>
        </is>
      </c>
      <c r="B814" s="154" t="inlineStr">
        <is>
          <t>2.3.5.1</t>
        </is>
      </c>
      <c r="C814" s="155" t="inlineStr">
        <is>
          <t>IHE_Inventory as of 31.12.2025</t>
        </is>
      </c>
      <c r="D814" s="156" t="n"/>
      <c r="E814" s="156" t="n"/>
      <c r="F814" s="157">
        <f>HYPERLINK("https://app.global.datasite.com/webviewer/?projectId=696652ec0dc07cc02daa26a0&amp;documentId=6a3a81562474c72c079d4a86","IHE_Inventory as of 31.12.2025")</f>
        <v/>
      </c>
      <c r="G814" s="154" t="inlineStr">
        <is>
          <t>DOCUMENT</t>
        </is>
      </c>
      <c r="H814" s="154" t="inlineStr">
        <is>
          <t>xlsx</t>
        </is>
      </c>
      <c r="I814" s="154" t="inlineStr">
        <is>
          <t>DOWNLOAD</t>
        </is>
      </c>
      <c r="J814" s="154" t="n">
        <v>0.11745166</v>
      </c>
      <c r="K814" s="154" t="inlineStr">
        <is>
          <t>Unread</t>
        </is>
      </c>
      <c r="L814" s="158" t="n">
        <v>46196.70694119213</v>
      </c>
      <c r="M814" s="154" t="inlineStr">
        <is>
          <t>6a3a81562474c72c079d4a86</t>
        </is>
      </c>
    </row>
    <row r="815">
      <c r="A815" s="154" t="inlineStr">
        <is>
          <t>Project Notos</t>
        </is>
      </c>
      <c r="B815" s="154" t="inlineStr">
        <is>
          <t>2.3.5.2</t>
        </is>
      </c>
      <c r="C815" s="155" t="inlineStr">
        <is>
          <t>IHE_RF_Stock Analysis_06.2026</t>
        </is>
      </c>
      <c r="D815" s="156" t="n"/>
      <c r="E815" s="156" t="n"/>
      <c r="F815" s="157">
        <f>HYPERLINK("https://app.global.datasite.com/webviewer/?projectId=696652ec0dc07cc02daa26a0&amp;documentId=6a3d2ffdd3e46919af316eae","IHE_RF_Stock Analysis_06.2026")</f>
        <v/>
      </c>
      <c r="G815" s="154" t="inlineStr">
        <is>
          <t>DOCUMENT</t>
        </is>
      </c>
      <c r="H815" s="154" t="inlineStr">
        <is>
          <t>pdf</t>
        </is>
      </c>
      <c r="I815" s="154" t="inlineStr">
        <is>
          <t>DOWNLOAD</t>
        </is>
      </c>
      <c r="J815" s="154" t="n">
        <v>0.16911029</v>
      </c>
      <c r="K815" s="154" t="inlineStr">
        <is>
          <t>Unread</t>
        </is>
      </c>
      <c r="L815" s="158" t="n">
        <v>46198.73300008102</v>
      </c>
      <c r="M815" s="154" t="inlineStr">
        <is>
          <t>6a3d2ffdd3e46919af316eae</t>
        </is>
      </c>
    </row>
    <row r="816">
      <c r="A816" s="154" t="inlineStr">
        <is>
          <t>Project Notos</t>
        </is>
      </c>
      <c r="B816" s="154" t="inlineStr">
        <is>
          <t>2.3.6</t>
        </is>
      </c>
      <c r="C816" s="155" t="inlineStr">
        <is>
          <t>Management Reporting</t>
        </is>
      </c>
      <c r="D816" s="156" t="n"/>
      <c r="E816" s="156" t="n"/>
      <c r="F816" s="157">
        <f>HYPERLINK("https://app.global.datasite.com/platform/container/696652ec0dc07cc02daa26a0/documents/content/index/6a3e9d35b248d0e04b1b2500","Management Reporting")</f>
        <v/>
      </c>
      <c r="G816" s="154" t="inlineStr">
        <is>
          <t>FOLDER</t>
        </is>
      </c>
      <c r="H816" s="154" t="n"/>
      <c r="I816" s="154" t="inlineStr">
        <is>
          <t>DOWNLOAD</t>
        </is>
      </c>
      <c r="J816" s="154" t="n"/>
      <c r="K816" s="154" t="inlineStr">
        <is>
          <t>Unread</t>
        </is>
      </c>
      <c r="L816" s="158" t="n">
        <v>46199.74007628472</v>
      </c>
      <c r="M816" s="154" t="inlineStr">
        <is>
          <t>6a3e9d35b248d0e04b1b2500</t>
        </is>
      </c>
    </row>
    <row r="817">
      <c r="A817" s="154" t="inlineStr">
        <is>
          <t>Project Notos</t>
        </is>
      </c>
      <c r="B817" s="154" t="inlineStr">
        <is>
          <t>2.3.6.1</t>
        </is>
      </c>
      <c r="C817" s="155" t="inlineStr">
        <is>
          <t>IHE_BS_2023_mthy-overview</t>
        </is>
      </c>
      <c r="D817" s="156" t="n"/>
      <c r="E817" s="156" t="n"/>
      <c r="F817" s="157">
        <f>HYPERLINK("https://app.global.datasite.com/webviewer/?projectId=696652ec0dc07cc02daa26a0&amp;documentId=6a3e9d4244698f563613cc4e","IHE_BS_2023_mthy-overview")</f>
        <v/>
      </c>
      <c r="G817" s="154" t="inlineStr">
        <is>
          <t>DOCUMENT</t>
        </is>
      </c>
      <c r="H817" s="154" t="inlineStr">
        <is>
          <t>xlsx</t>
        </is>
      </c>
      <c r="I817" s="154" t="inlineStr">
        <is>
          <t>DOWNLOAD</t>
        </is>
      </c>
      <c r="J817" s="154" t="n">
        <v>0.01974964</v>
      </c>
      <c r="K817" s="154" t="inlineStr">
        <is>
          <t>Unread</t>
        </is>
      </c>
      <c r="L817" s="158" t="n">
        <v>46199.74007585648</v>
      </c>
      <c r="M817" s="154" t="inlineStr">
        <is>
          <t>6a3e9d4244698f563613cc4e</t>
        </is>
      </c>
    </row>
    <row r="818">
      <c r="A818" s="154" t="inlineStr">
        <is>
          <t>Project Notos</t>
        </is>
      </c>
      <c r="B818" s="154" t="inlineStr">
        <is>
          <t>2.3.6.2</t>
        </is>
      </c>
      <c r="C818" s="155" t="inlineStr">
        <is>
          <t>IHE_BS_2024_mthly-overview</t>
        </is>
      </c>
      <c r="D818" s="156" t="n"/>
      <c r="E818" s="156" t="n"/>
      <c r="F818" s="157">
        <f>HYPERLINK("https://app.global.datasite.com/webviewer/?projectId=696652ec0dc07cc02daa26a0&amp;documentId=6a3e9d4244698f563613cc4f","IHE_BS_2024_mthly-overview")</f>
        <v/>
      </c>
      <c r="G818" s="154" t="inlineStr">
        <is>
          <t>DOCUMENT</t>
        </is>
      </c>
      <c r="H818" s="154" t="inlineStr">
        <is>
          <t>xlsx</t>
        </is>
      </c>
      <c r="I818" s="154" t="inlineStr">
        <is>
          <t>DOWNLOAD</t>
        </is>
      </c>
      <c r="J818" s="154" t="n">
        <v>0.02516651</v>
      </c>
      <c r="K818" s="154" t="inlineStr">
        <is>
          <t>Unread</t>
        </is>
      </c>
      <c r="L818" s="158" t="n">
        <v>46199.74007585648</v>
      </c>
      <c r="M818" s="154" t="inlineStr">
        <is>
          <t>6a3e9d4244698f563613cc4f</t>
        </is>
      </c>
    </row>
    <row r="819" s="148">
      <c r="A819" s="154" t="inlineStr">
        <is>
          <t>Project Notos</t>
        </is>
      </c>
      <c r="B819" s="154" t="inlineStr">
        <is>
          <t>2.3.6.3</t>
        </is>
      </c>
      <c r="C819" s="155" t="inlineStr">
        <is>
          <t>IHE_BS_2025_mthly-overview</t>
        </is>
      </c>
      <c r="D819" s="156" t="n"/>
      <c r="E819" s="156" t="n"/>
      <c r="F819" s="157">
        <f>HYPERLINK("https://app.global.datasite.com/webviewer/?projectId=696652ec0dc07cc02daa26a0&amp;documentId=6a3e9d4244698f563613cc50","IHE_BS_2025_mthly-overview")</f>
        <v/>
      </c>
      <c r="G819" s="154" t="inlineStr">
        <is>
          <t>DOCUMENT</t>
        </is>
      </c>
      <c r="H819" s="154" t="inlineStr">
        <is>
          <t>xlsx</t>
        </is>
      </c>
      <c r="I819" s="154" t="inlineStr">
        <is>
          <t>DOWNLOAD</t>
        </is>
      </c>
      <c r="J819" s="154" t="n">
        <v>0.02500438</v>
      </c>
      <c r="K819" s="154" t="inlineStr">
        <is>
          <t>Unread</t>
        </is>
      </c>
      <c r="L819" s="158" t="n">
        <v>46199.74007585648</v>
      </c>
      <c r="M819" s="154" t="inlineStr">
        <is>
          <t>6a3e9d4244698f563613cc50</t>
        </is>
      </c>
    </row>
    <row r="820" s="148">
      <c r="A820" s="154" t="inlineStr">
        <is>
          <t>Project Notos</t>
        </is>
      </c>
      <c r="B820" s="154" t="inlineStr">
        <is>
          <t>2.3.6.4</t>
        </is>
      </c>
      <c r="C820" s="155" t="inlineStr">
        <is>
          <t>IHE_P&amp;L_2023_mthy-overview</t>
        </is>
      </c>
      <c r="D820" s="156" t="n"/>
      <c r="E820" s="156" t="n"/>
      <c r="F820" s="157">
        <f>HYPERLINK("https://app.global.datasite.com/webviewer/?projectId=696652ec0dc07cc02daa26a0&amp;documentId=6a3e9d4244698f563613cc51","IHE_P&amp;L_2023_mthy-overview")</f>
        <v/>
      </c>
      <c r="G820" s="154" t="inlineStr">
        <is>
          <t>DOCUMENT</t>
        </is>
      </c>
      <c r="H820" s="154" t="inlineStr">
        <is>
          <t>xlsx</t>
        </is>
      </c>
      <c r="I820" s="154" t="inlineStr">
        <is>
          <t>DOWNLOAD</t>
        </is>
      </c>
      <c r="J820" s="154" t="n">
        <v>0.04367733</v>
      </c>
      <c r="K820" s="154" t="inlineStr">
        <is>
          <t>Unread</t>
        </is>
      </c>
      <c r="L820" s="158" t="n">
        <v>46199.74007585648</v>
      </c>
      <c r="M820" s="154" t="inlineStr">
        <is>
          <t>6a3e9d4244698f563613cc51</t>
        </is>
      </c>
    </row>
    <row r="821" s="148">
      <c r="A821" s="154" t="inlineStr">
        <is>
          <t>Project Notos</t>
        </is>
      </c>
      <c r="B821" s="154" t="inlineStr">
        <is>
          <t>2.3.6.5</t>
        </is>
      </c>
      <c r="C821" s="155" t="inlineStr">
        <is>
          <t>IHE_P&amp;L_2024_mthly-overview</t>
        </is>
      </c>
      <c r="D821" s="156" t="n"/>
      <c r="E821" s="156" t="n"/>
      <c r="F821" s="157">
        <f>HYPERLINK("https://app.global.datasite.com/webviewer/?projectId=696652ec0dc07cc02daa26a0&amp;documentId=6a3e9d4244698f563613cc52","IHE_P&amp;L_2024_mthly-overview")</f>
        <v/>
      </c>
      <c r="G821" s="154" t="inlineStr">
        <is>
          <t>DOCUMENT</t>
        </is>
      </c>
      <c r="H821" s="154" t="inlineStr">
        <is>
          <t>xlsx</t>
        </is>
      </c>
      <c r="I821" s="154" t="inlineStr">
        <is>
          <t>DOWNLOAD</t>
        </is>
      </c>
      <c r="J821" s="154" t="n">
        <v>0.09177398</v>
      </c>
      <c r="K821" s="154" t="inlineStr">
        <is>
          <t>Unread</t>
        </is>
      </c>
      <c r="L821" s="158" t="n">
        <v>46199.74007585648</v>
      </c>
      <c r="M821" s="154" t="inlineStr">
        <is>
          <t>6a3e9d4244698f563613cc52</t>
        </is>
      </c>
    </row>
    <row r="822">
      <c r="A822" s="154" t="inlineStr">
        <is>
          <t>Project Notos</t>
        </is>
      </c>
      <c r="B822" s="154" t="inlineStr">
        <is>
          <t>2.3.6.6</t>
        </is>
      </c>
      <c r="C822" s="155" t="inlineStr">
        <is>
          <t>IHE_P&amp;L_2025_mthly-overview</t>
        </is>
      </c>
      <c r="D822" s="156" t="n"/>
      <c r="E822" s="156" t="n"/>
      <c r="F822" s="157">
        <f>HYPERLINK("https://app.global.datasite.com/webviewer/?projectId=696652ec0dc07cc02daa26a0&amp;documentId=6a3e9d4244698f563613cc53","IHE_P&amp;L_2025_mthly-overview")</f>
        <v/>
      </c>
      <c r="G822" s="154" t="inlineStr">
        <is>
          <t>DOCUMENT</t>
        </is>
      </c>
      <c r="H822" s="154" t="inlineStr">
        <is>
          <t>xlsx</t>
        </is>
      </c>
      <c r="I822" s="154" t="inlineStr">
        <is>
          <t>DOWNLOAD</t>
        </is>
      </c>
      <c r="J822" s="154" t="n">
        <v>0.0856142</v>
      </c>
      <c r="K822" s="154" t="inlineStr">
        <is>
          <t>Unread</t>
        </is>
      </c>
      <c r="L822" s="158" t="n">
        <v>46199.74007585648</v>
      </c>
      <c r="M822" s="154" t="inlineStr">
        <is>
          <t>6a3e9d4244698f563613cc53</t>
        </is>
      </c>
    </row>
    <row r="823">
      <c r="A823" s="149" t="inlineStr">
        <is>
          <t>Project Notos</t>
        </is>
      </c>
      <c r="B823" s="149" t="inlineStr">
        <is>
          <t>2.4</t>
        </is>
      </c>
      <c r="C823" s="17" t="inlineStr">
        <is>
          <t>Rupert Fertinger (RF)</t>
        </is>
      </c>
      <c r="D823" s="25" t="n"/>
      <c r="F823" s="150">
        <f>HYPERLINK("https://app.global.datasite.com/platform/container/696652ec0dc07cc02daa26a0/documents/content/index/698cb7213613a095ea713e51","Rupert Fertinger (RF)")</f>
        <v/>
      </c>
      <c r="G823" s="149" t="inlineStr">
        <is>
          <t>FOLDER</t>
        </is>
      </c>
      <c r="H823" s="149" t="n"/>
      <c r="I823" s="149" t="inlineStr">
        <is>
          <t>DOWNLOAD</t>
        </is>
      </c>
      <c r="J823" s="149" t="n"/>
      <c r="K823" s="149" t="inlineStr">
        <is>
          <t>Unread</t>
        </is>
      </c>
      <c r="L823" s="152" t="n">
        <v>46176.92764111111</v>
      </c>
      <c r="M823" s="149" t="inlineStr">
        <is>
          <t>698cb7213613a095ea713e51</t>
        </is>
      </c>
    </row>
    <row r="824">
      <c r="A824" s="149" t="inlineStr">
        <is>
          <t>Project Notos</t>
        </is>
      </c>
      <c r="B824" s="149" t="inlineStr">
        <is>
          <t>2.4.1</t>
        </is>
      </c>
      <c r="C824" s="17" t="inlineStr">
        <is>
          <t>Annual Accounts</t>
        </is>
      </c>
      <c r="D824" s="25" t="n"/>
      <c r="F824" s="150">
        <f>HYPERLINK("https://app.global.datasite.com/platform/container/696652ec0dc07cc02daa26a0/documents/content/index/698cc37415e348f1a2434cc7","Annual Accounts")</f>
        <v/>
      </c>
      <c r="G824" s="149" t="inlineStr">
        <is>
          <t>FOLDER</t>
        </is>
      </c>
      <c r="H824" s="149" t="n"/>
      <c r="I824" s="149" t="inlineStr">
        <is>
          <t>DOWNLOAD</t>
        </is>
      </c>
      <c r="J824" s="149" t="n"/>
      <c r="K824" s="149" t="inlineStr">
        <is>
          <t>Unread</t>
        </is>
      </c>
      <c r="L824" s="152" t="n">
        <v>46176.92764111111</v>
      </c>
      <c r="M824" s="149" t="inlineStr">
        <is>
          <t>698cc37415e348f1a2434cc7</t>
        </is>
      </c>
    </row>
    <row r="825">
      <c r="A825" t="inlineStr">
        <is>
          <t>Project Notos</t>
        </is>
      </c>
      <c r="B825" t="inlineStr">
        <is>
          <t>2.4.1.1</t>
        </is>
      </c>
      <c r="C825" s="15" t="inlineStr">
        <is>
          <t>RF Annual Accounts_31.12.2022_Detailed</t>
        </is>
      </c>
      <c r="D825" s="20" t="inlineStr">
        <is>
          <t>Out-of-Scope</t>
        </is>
      </c>
      <c r="F825" s="151">
        <f>HYPERLINK("https://app.global.datasite.com/webviewer/?projectId=696652ec0dc07cc02daa26a0&amp;documentId=69c6809a9d9e98a960ee6248","RF Annual Accounts_31.12.2022_Detailed")</f>
        <v/>
      </c>
      <c r="G825" t="inlineStr">
        <is>
          <t>DOCUMENT</t>
        </is>
      </c>
      <c r="H825" t="inlineStr">
        <is>
          <t>pdf</t>
        </is>
      </c>
      <c r="I825" t="inlineStr">
        <is>
          <t>DOWNLOAD</t>
        </is>
      </c>
      <c r="J825" t="n">
        <v>0.39473247</v>
      </c>
      <c r="K825" t="inlineStr">
        <is>
          <t>Unread</t>
        </is>
      </c>
      <c r="L825" s="153" t="n">
        <v>46176.92764111111</v>
      </c>
      <c r="M825" t="inlineStr">
        <is>
          <t>69c6809a9d9e98a960ee6248</t>
        </is>
      </c>
    </row>
    <row r="826">
      <c r="A826" t="inlineStr">
        <is>
          <t>Project Notos</t>
        </is>
      </c>
      <c r="B826" t="inlineStr">
        <is>
          <t>2.4.1.2</t>
        </is>
      </c>
      <c r="C826" s="15" t="inlineStr">
        <is>
          <t>RF Annual Accounts_31.12.2023_Auditor Report</t>
        </is>
      </c>
      <c r="D826" s="20" t="inlineStr">
        <is>
          <t>Out-of-Scope</t>
        </is>
      </c>
      <c r="F826" s="151">
        <f>HYPERLINK("https://app.global.datasite.com/webviewer/?projectId=696652ec0dc07cc02daa26a0&amp;documentId=69c53c99851a3033e12f0829","RF Annual Accounts_31.12.2023_Auditor Report")</f>
        <v/>
      </c>
      <c r="G826" t="inlineStr">
        <is>
          <t>DOCUMENT</t>
        </is>
      </c>
      <c r="H826" t="inlineStr">
        <is>
          <t>pdf</t>
        </is>
      </c>
      <c r="I826" t="inlineStr">
        <is>
          <t>DOWNLOAD</t>
        </is>
      </c>
      <c r="J826" t="n">
        <v>3.45421314</v>
      </c>
      <c r="K826" t="inlineStr">
        <is>
          <t>Unread</t>
        </is>
      </c>
      <c r="L826" s="153" t="n">
        <v>46176.92764111111</v>
      </c>
      <c r="M826" t="inlineStr">
        <is>
          <t>69c53c99851a3033e12f0829</t>
        </is>
      </c>
    </row>
    <row r="827">
      <c r="A827" t="inlineStr">
        <is>
          <t>Project Notos</t>
        </is>
      </c>
      <c r="B827" t="inlineStr">
        <is>
          <t>2.4.1.3</t>
        </is>
      </c>
      <c r="C827" s="15" t="inlineStr">
        <is>
          <t>RF Annual Accounts_31.12.2023_Detailed</t>
        </is>
      </c>
      <c r="D827" s="20" t="inlineStr">
        <is>
          <t>Out-of-Scope</t>
        </is>
      </c>
      <c r="F827" s="151">
        <f>HYPERLINK("https://app.global.datasite.com/webviewer/?projectId=696652ec0dc07cc02daa26a0&amp;documentId=69c68062c5c018b6482a16fd","RF Annual Accounts_31.12.2023_Detailed")</f>
        <v/>
      </c>
      <c r="G827" t="inlineStr">
        <is>
          <t>DOCUMENT</t>
        </is>
      </c>
      <c r="H827" t="inlineStr">
        <is>
          <t>pdf</t>
        </is>
      </c>
      <c r="I827" t="inlineStr">
        <is>
          <t>DOWNLOAD</t>
        </is>
      </c>
      <c r="J827" t="n">
        <v>3.46136569</v>
      </c>
      <c r="K827" t="inlineStr">
        <is>
          <t>Unread</t>
        </is>
      </c>
      <c r="L827" s="153" t="n">
        <v>46176.92764111111</v>
      </c>
      <c r="M827" t="inlineStr">
        <is>
          <t>69c68062c5c018b6482a16fd</t>
        </is>
      </c>
    </row>
    <row r="828">
      <c r="A828" t="inlineStr">
        <is>
          <t>Project Notos</t>
        </is>
      </c>
      <c r="B828" t="inlineStr">
        <is>
          <t>2.4.1.4</t>
        </is>
      </c>
      <c r="C828" s="15" t="inlineStr">
        <is>
          <t>RF Annual Accounts_31.12.2024_Auditor Report</t>
        </is>
      </c>
      <c r="D828" s="20" t="inlineStr">
        <is>
          <t>Out-of-Scope</t>
        </is>
      </c>
      <c r="F828" s="151">
        <f>HYPERLINK("https://app.global.datasite.com/webviewer/?projectId=696652ec0dc07cc02daa26a0&amp;documentId=69c53ba9ce283fccb519d126","RF Annual Accounts_31.12.2024_Auditor Report")</f>
        <v/>
      </c>
      <c r="G828" t="inlineStr">
        <is>
          <t>DOCUMENT</t>
        </is>
      </c>
      <c r="H828" t="inlineStr">
        <is>
          <t>pdf</t>
        </is>
      </c>
      <c r="I828" t="inlineStr">
        <is>
          <t>DOWNLOAD</t>
        </is>
      </c>
      <c r="J828" t="n">
        <v>1.07495975</v>
      </c>
      <c r="K828" t="inlineStr">
        <is>
          <t>Unread</t>
        </is>
      </c>
      <c r="L828" s="153" t="n">
        <v>46176.92764111111</v>
      </c>
      <c r="M828" t="inlineStr">
        <is>
          <t>69c53ba9ce283fccb519d126</t>
        </is>
      </c>
    </row>
    <row r="829">
      <c r="A829" t="inlineStr">
        <is>
          <t>Project Notos</t>
        </is>
      </c>
      <c r="B829" t="inlineStr">
        <is>
          <t>2.4.1.5</t>
        </is>
      </c>
      <c r="C829" s="15" t="inlineStr">
        <is>
          <t>RF Annual Accounts_31.12.2024_Detailed</t>
        </is>
      </c>
      <c r="D829" s="20" t="inlineStr">
        <is>
          <t>Out-of-Scope</t>
        </is>
      </c>
      <c r="F829" s="151">
        <f>HYPERLINK("https://app.global.datasite.com/webviewer/?projectId=696652ec0dc07cc02daa26a0&amp;documentId=69c68043f2516408b5896228","RF Annual Accounts_31.12.2024_Detailed")</f>
        <v/>
      </c>
      <c r="G829" t="inlineStr">
        <is>
          <t>DOCUMENT</t>
        </is>
      </c>
      <c r="H829" t="inlineStr">
        <is>
          <t>pdf</t>
        </is>
      </c>
      <c r="I829" t="inlineStr">
        <is>
          <t>DOWNLOAD</t>
        </is>
      </c>
      <c r="J829" t="n">
        <v>0.44476985</v>
      </c>
      <c r="K829" t="inlineStr">
        <is>
          <t>Unread</t>
        </is>
      </c>
      <c r="L829" s="153" t="n">
        <v>46176.92764111111</v>
      </c>
      <c r="M829" t="inlineStr">
        <is>
          <t>69c68043f2516408b5896228</t>
        </is>
      </c>
    </row>
    <row r="830">
      <c r="A830" t="inlineStr">
        <is>
          <t>Project Notos</t>
        </is>
      </c>
      <c r="B830" t="inlineStr">
        <is>
          <t>2.4.1.6</t>
        </is>
      </c>
      <c r="C830" s="15" t="inlineStr">
        <is>
          <t>RF_Annual Accounts_31.12.2025_Auditor Report</t>
        </is>
      </c>
      <c r="D830" s="20" t="inlineStr">
        <is>
          <t>Out-of-Scope</t>
        </is>
      </c>
      <c r="F830" s="151">
        <f>HYPERLINK("https://app.global.datasite.com/webviewer/?projectId=696652ec0dc07cc02daa26a0&amp;documentId=69fa1001dcc3540cf64b6a8f","RF_Annual Accounts_31.12.2025_Auditor Report")</f>
        <v/>
      </c>
      <c r="G830" t="inlineStr">
        <is>
          <t>DOCUMENT</t>
        </is>
      </c>
      <c r="H830" t="inlineStr">
        <is>
          <t>pdf</t>
        </is>
      </c>
      <c r="I830" t="inlineStr">
        <is>
          <t>DOWNLOAD</t>
        </is>
      </c>
      <c r="J830" t="n">
        <v>1.39042186</v>
      </c>
      <c r="K830" t="inlineStr">
        <is>
          <t>Unread</t>
        </is>
      </c>
      <c r="L830" s="153" t="n">
        <v>46176.92764111111</v>
      </c>
      <c r="M830" t="inlineStr">
        <is>
          <t>69fa1001dcc3540cf64b6a8f</t>
        </is>
      </c>
    </row>
    <row r="831">
      <c r="A831" s="149" t="inlineStr">
        <is>
          <t>Project Notos</t>
        </is>
      </c>
      <c r="B831" s="149" t="inlineStr">
        <is>
          <t>2.4.2</t>
        </is>
      </c>
      <c r="C831" s="17" t="inlineStr">
        <is>
          <t>CAPEX</t>
        </is>
      </c>
      <c r="D831" s="25" t="n"/>
      <c r="F831" s="150">
        <f>HYPERLINK("https://app.global.datasite.com/platform/container/696652ec0dc07cc02daa26a0/documents/content/index/6a1d8e066237fa337a16f17e","CAPEX")</f>
        <v/>
      </c>
      <c r="G831" s="149" t="inlineStr">
        <is>
          <t>FOLDER</t>
        </is>
      </c>
      <c r="H831" s="149" t="n"/>
      <c r="I831" s="149" t="inlineStr">
        <is>
          <t>DOWNLOAD</t>
        </is>
      </c>
      <c r="J831" s="149" t="n"/>
      <c r="K831" s="149" t="inlineStr">
        <is>
          <t>Unread</t>
        </is>
      </c>
      <c r="L831" s="152" t="n">
        <v>46176.92764111111</v>
      </c>
      <c r="M831" s="149" t="inlineStr">
        <is>
          <t>6a1d8e066237fa337a16f17e</t>
        </is>
      </c>
    </row>
    <row r="832">
      <c r="A832" t="inlineStr">
        <is>
          <t>Project Notos</t>
        </is>
      </c>
      <c r="B832" t="inlineStr">
        <is>
          <t>2.4.2.1</t>
        </is>
      </c>
      <c r="C832" s="15" t="inlineStr">
        <is>
          <t>RF_CAPEX 2023-2025 inkl 2026 BUD</t>
        </is>
      </c>
      <c r="D832" s="20" t="inlineStr">
        <is>
          <t>Out-of-Scope</t>
        </is>
      </c>
      <c r="F832" s="151">
        <f>HYPERLINK("https://app.global.datasite.com/webviewer/?projectId=696652ec0dc07cc02daa26a0&amp;documentId=6a1d8e438b62131868169571","RF_CAPEX 2023-2025 inkl 2026 BUD")</f>
        <v/>
      </c>
      <c r="G832" t="inlineStr">
        <is>
          <t>DOCUMENT</t>
        </is>
      </c>
      <c r="H832" t="inlineStr">
        <is>
          <t>xlsx</t>
        </is>
      </c>
      <c r="I832" t="inlineStr">
        <is>
          <t>DOWNLOAD</t>
        </is>
      </c>
      <c r="J832" t="n">
        <v>0.0094223</v>
      </c>
      <c r="K832" t="inlineStr">
        <is>
          <t>Unread</t>
        </is>
      </c>
      <c r="L832" s="153" t="n">
        <v>46176.92764111111</v>
      </c>
      <c r="M832" t="inlineStr">
        <is>
          <t>6a1d8e438b62131868169571</t>
        </is>
      </c>
    </row>
    <row r="833">
      <c r="A833" s="149" t="inlineStr">
        <is>
          <t>Project Notos</t>
        </is>
      </c>
      <c r="B833" s="149" t="inlineStr">
        <is>
          <t>2.4.3</t>
        </is>
      </c>
      <c r="C833" s="17" t="inlineStr">
        <is>
          <t>Payables / Receivables Aging</t>
        </is>
      </c>
      <c r="D833" s="25" t="n"/>
      <c r="F833" s="150">
        <f>HYPERLINK("https://app.global.datasite.com/platform/container/696652ec0dc07cc02daa26a0/documents/content/index/6a1dc21cece0f7142bed2e47","Payables / Receivables Aging")</f>
        <v/>
      </c>
      <c r="G833" s="149" t="inlineStr">
        <is>
          <t>FOLDER</t>
        </is>
      </c>
      <c r="H833" s="149" t="n"/>
      <c r="I833" s="149" t="inlineStr">
        <is>
          <t>DOWNLOAD</t>
        </is>
      </c>
      <c r="J833" s="149" t="n"/>
      <c r="K833" s="149" t="inlineStr">
        <is>
          <t>Unread</t>
        </is>
      </c>
      <c r="L833" s="152" t="n">
        <v>46176.92764111111</v>
      </c>
      <c r="M833" s="149" t="inlineStr">
        <is>
          <t>6a1dc21cece0f7142bed2e47</t>
        </is>
      </c>
    </row>
    <row r="834">
      <c r="A834" t="inlineStr">
        <is>
          <t>Project Notos</t>
        </is>
      </c>
      <c r="B834" t="inlineStr">
        <is>
          <t>2.4.3.1</t>
        </is>
      </c>
      <c r="C834" s="15" t="inlineStr">
        <is>
          <t>RF_aging AP_30.04.2026</t>
        </is>
      </c>
      <c r="D834" s="20" t="inlineStr">
        <is>
          <t>Out-of-Scope</t>
        </is>
      </c>
      <c r="F834" s="151">
        <f>HYPERLINK("https://app.global.datasite.com/webviewer/?projectId=696652ec0dc07cc02daa26a0&amp;documentId=6a1dc226ece0f7142bed2e4a","RF_aging AP_30.04.2026")</f>
        <v/>
      </c>
      <c r="G834" t="inlineStr">
        <is>
          <t>DOCUMENT</t>
        </is>
      </c>
      <c r="H834" t="inlineStr">
        <is>
          <t>xlsx</t>
        </is>
      </c>
      <c r="I834" t="inlineStr">
        <is>
          <t>DOWNLOAD</t>
        </is>
      </c>
      <c r="J834" t="n">
        <v>0.0911951</v>
      </c>
      <c r="K834" t="inlineStr">
        <is>
          <t>Unread</t>
        </is>
      </c>
      <c r="L834" s="153" t="n">
        <v>46176.92764111111</v>
      </c>
      <c r="M834" t="inlineStr">
        <is>
          <t>6a1dc226ece0f7142bed2e4a</t>
        </is>
      </c>
    </row>
    <row r="835">
      <c r="A835" t="inlineStr">
        <is>
          <t>Project Notos</t>
        </is>
      </c>
      <c r="B835" t="inlineStr">
        <is>
          <t>2.4.3.2</t>
        </is>
      </c>
      <c r="C835" t="inlineStr">
        <is>
          <t>RF_aging AR_31.05.2026</t>
        </is>
      </c>
      <c r="D835" s="20" t="inlineStr">
        <is>
          <t>Out-of-Scope</t>
        </is>
      </c>
      <c r="F835" s="151" t="n">
        <v>0</v>
      </c>
      <c r="G835" t="inlineStr">
        <is>
          <t>DOCUMENT</t>
        </is>
      </c>
      <c r="H835" t="inlineStr">
        <is>
          <t>xlsx</t>
        </is>
      </c>
      <c r="I835" t="inlineStr">
        <is>
          <t>DOWNLOAD</t>
        </is>
      </c>
      <c r="J835" t="n">
        <v>0.01381683</v>
      </c>
      <c r="K835" t="inlineStr">
        <is>
          <t>Unread</t>
        </is>
      </c>
      <c r="L835" s="153" t="n">
        <v>46181.87023293981</v>
      </c>
      <c r="M835" t="inlineStr">
        <is>
          <t>6a270b8fe28160aa1e919e71</t>
        </is>
      </c>
    </row>
    <row r="836">
      <c r="A836" s="154" t="inlineStr">
        <is>
          <t>Project Notos</t>
        </is>
      </c>
      <c r="B836" s="154" t="inlineStr">
        <is>
          <t>2.4.3.3</t>
        </is>
      </c>
      <c r="C836" s="155" t="inlineStr">
        <is>
          <t>RF_AR aging 2025</t>
        </is>
      </c>
      <c r="D836" s="156" t="n"/>
      <c r="E836" s="156" t="n"/>
      <c r="F836" s="157">
        <f>HYPERLINK("https://app.global.datasite.com/webviewer/?projectId=696652ec0dc07cc02daa26a0&amp;documentId=6a3e468ceec52c74ae38b381","RF_AR aging 2025")</f>
        <v/>
      </c>
      <c r="G836" s="154" t="inlineStr">
        <is>
          <t>DOCUMENT</t>
        </is>
      </c>
      <c r="H836" s="154" t="inlineStr">
        <is>
          <t>xlsx</t>
        </is>
      </c>
      <c r="I836" s="154" t="inlineStr">
        <is>
          <t>DOWNLOAD</t>
        </is>
      </c>
      <c r="J836" s="154" t="n">
        <v>0.03748512</v>
      </c>
      <c r="K836" s="154" t="inlineStr">
        <is>
          <t>Unread</t>
        </is>
      </c>
      <c r="L836" s="158" t="n">
        <v>46199.69526490741</v>
      </c>
      <c r="M836" s="154" t="inlineStr">
        <is>
          <t>6a3e468ceec52c74ae38b381</t>
        </is>
      </c>
    </row>
    <row r="837">
      <c r="A837" s="154" t="inlineStr">
        <is>
          <t>Project Notos</t>
        </is>
      </c>
      <c r="B837" s="154" t="inlineStr">
        <is>
          <t>2.4.3.4</t>
        </is>
      </c>
      <c r="C837" s="155" t="inlineStr">
        <is>
          <t>RF_AP aging 2024</t>
        </is>
      </c>
      <c r="D837" s="156" t="n"/>
      <c r="E837" s="156" t="n"/>
      <c r="F837" s="157">
        <f>HYPERLINK("https://app.global.datasite.com/webviewer/?projectId=696652ec0dc07cc02daa26a0&amp;documentId=6a3e468ceec52c74ae38b382","RF_AP aging 2024")</f>
        <v/>
      </c>
      <c r="G837" s="154" t="inlineStr">
        <is>
          <t>DOCUMENT</t>
        </is>
      </c>
      <c r="H837" s="154" t="inlineStr">
        <is>
          <t>xlsx</t>
        </is>
      </c>
      <c r="I837" s="154" t="inlineStr">
        <is>
          <t>DOWNLOAD</t>
        </is>
      </c>
      <c r="J837" s="154" t="n">
        <v>0.07599258</v>
      </c>
      <c r="K837" s="154" t="inlineStr">
        <is>
          <t>Unread</t>
        </is>
      </c>
      <c r="L837" s="158" t="n">
        <v>46199.69526490741</v>
      </c>
      <c r="M837" s="154" t="inlineStr">
        <is>
          <t>6a3e468ceec52c74ae38b382</t>
        </is>
      </c>
    </row>
    <row r="838">
      <c r="A838" s="154" t="inlineStr">
        <is>
          <t>Project Notos</t>
        </is>
      </c>
      <c r="B838" s="154" t="inlineStr">
        <is>
          <t>2.4.3.5</t>
        </is>
      </c>
      <c r="C838" s="155" t="inlineStr">
        <is>
          <t>RF_AP aging 2025</t>
        </is>
      </c>
      <c r="D838" s="156" t="n"/>
      <c r="E838" s="156" t="n"/>
      <c r="F838" s="157">
        <f>HYPERLINK("https://app.global.datasite.com/webviewer/?projectId=696652ec0dc07cc02daa26a0&amp;documentId=6a3e468ceec52c74ae38b383","RF_AP aging 2025")</f>
        <v/>
      </c>
      <c r="G838" s="154" t="inlineStr">
        <is>
          <t>DOCUMENT</t>
        </is>
      </c>
      <c r="H838" s="154" t="inlineStr">
        <is>
          <t>xlsx</t>
        </is>
      </c>
      <c r="I838" s="154" t="inlineStr">
        <is>
          <t>DOWNLOAD</t>
        </is>
      </c>
      <c r="J838" s="154" t="n">
        <v>0.06408405</v>
      </c>
      <c r="K838" s="154" t="inlineStr">
        <is>
          <t>Unread</t>
        </is>
      </c>
      <c r="L838" s="158" t="n">
        <v>46199.69526490741</v>
      </c>
      <c r="M838" s="154" t="inlineStr">
        <is>
          <t>6a3e468ceec52c74ae38b383</t>
        </is>
      </c>
    </row>
    <row r="839">
      <c r="A839" s="154" t="inlineStr">
        <is>
          <t>Project Notos</t>
        </is>
      </c>
      <c r="B839" s="154" t="inlineStr">
        <is>
          <t>2.4.3.6</t>
        </is>
      </c>
      <c r="C839" s="155" t="inlineStr">
        <is>
          <t>RF_AR aging  2024</t>
        </is>
      </c>
      <c r="D839" s="156" t="n"/>
      <c r="E839" s="156" t="n"/>
      <c r="F839" s="157">
        <f>HYPERLINK("https://app.global.datasite.com/webviewer/?projectId=696652ec0dc07cc02daa26a0&amp;documentId=6a3e468ceec52c74ae38b384","RF_AR aging  2024")</f>
        <v/>
      </c>
      <c r="G839" s="154" t="inlineStr">
        <is>
          <t>DOCUMENT</t>
        </is>
      </c>
      <c r="H839" s="154" t="inlineStr">
        <is>
          <t>xlsx</t>
        </is>
      </c>
      <c r="I839" s="154" t="inlineStr">
        <is>
          <t>DOWNLOAD</t>
        </is>
      </c>
      <c r="J839" s="154" t="n">
        <v>0.06731891</v>
      </c>
      <c r="K839" s="154" t="inlineStr">
        <is>
          <t>Unread</t>
        </is>
      </c>
      <c r="L839" s="158" t="n">
        <v>46199.69526490741</v>
      </c>
      <c r="M839" s="154" t="inlineStr">
        <is>
          <t>6a3e468ceec52c74ae38b384</t>
        </is>
      </c>
    </row>
    <row r="840">
      <c r="A840" s="149" t="inlineStr">
        <is>
          <t>Project Notos</t>
        </is>
      </c>
      <c r="B840" s="149" t="inlineStr">
        <is>
          <t>2.4.4</t>
        </is>
      </c>
      <c r="C840" s="149" t="inlineStr">
        <is>
          <t>Fixed Assets</t>
        </is>
      </c>
      <c r="D840" s="149" t="n"/>
      <c r="E840" s="35" t="n"/>
      <c r="F840" s="150" t="n">
        <v>0</v>
      </c>
      <c r="G840" s="149" t="inlineStr">
        <is>
          <t>FOLDER</t>
        </is>
      </c>
      <c r="H840" s="149" t="n"/>
      <c r="I840" s="149" t="inlineStr">
        <is>
          <t>DOWNLOAD</t>
        </is>
      </c>
      <c r="J840" s="149" t="n"/>
      <c r="K840" s="149" t="inlineStr">
        <is>
          <t>Unread</t>
        </is>
      </c>
      <c r="L840" s="152" t="n">
        <v>46189.92085422454</v>
      </c>
      <c r="M840" s="149" t="inlineStr">
        <is>
          <t>6a3199ea4faef2fce1f4772e</t>
        </is>
      </c>
    </row>
    <row r="841">
      <c r="A841" t="inlineStr">
        <is>
          <t>Project Notos</t>
        </is>
      </c>
      <c r="B841" t="inlineStr">
        <is>
          <t>2.4.4.1</t>
        </is>
      </c>
      <c r="C841" t="inlineStr">
        <is>
          <t>RF_Fixed Asset Register_31.12.2025</t>
        </is>
      </c>
      <c r="D841" s="20" t="inlineStr">
        <is>
          <t>Out-of-Scope</t>
        </is>
      </c>
      <c r="E841" s="35" t="n"/>
      <c r="F841" s="151" t="n">
        <v>0</v>
      </c>
      <c r="G841" t="inlineStr">
        <is>
          <t>DOCUMENT</t>
        </is>
      </c>
      <c r="H841" t="inlineStr">
        <is>
          <t>xlsx</t>
        </is>
      </c>
      <c r="I841" t="inlineStr">
        <is>
          <t>DOWNLOAD</t>
        </is>
      </c>
      <c r="J841" t="n">
        <v>0.05422496</v>
      </c>
      <c r="K841" t="inlineStr">
        <is>
          <t>Unread</t>
        </is>
      </c>
      <c r="L841" s="153" t="n">
        <v>46189.92085385416</v>
      </c>
      <c r="M841" t="inlineStr">
        <is>
          <t>6a31ac60f11a9fbb2617b6c7</t>
        </is>
      </c>
    </row>
    <row r="842">
      <c r="A842" s="154" t="inlineStr">
        <is>
          <t>Project Notos</t>
        </is>
      </c>
      <c r="B842" s="154" t="inlineStr">
        <is>
          <t>2.4.5</t>
        </is>
      </c>
      <c r="C842" s="155" t="inlineStr">
        <is>
          <t>Management Reporting</t>
        </is>
      </c>
      <c r="D842" s="156" t="n"/>
      <c r="E842" s="156" t="n"/>
      <c r="F842" s="157">
        <f>HYPERLINK("https://app.global.datasite.com/platform/container/696652ec0dc07cc02daa26a0/documents/content/index/6a3e8dfe89d3ecbe4cbf029b","Management Reporting")</f>
        <v/>
      </c>
      <c r="G842" s="154" t="inlineStr">
        <is>
          <t>FOLDER</t>
        </is>
      </c>
      <c r="H842" s="154" t="n"/>
      <c r="I842" s="154" t="inlineStr">
        <is>
          <t>DOWNLOAD</t>
        </is>
      </c>
      <c r="J842" s="154" t="n"/>
      <c r="K842" s="154" t="inlineStr">
        <is>
          <t>Unread</t>
        </is>
      </c>
      <c r="L842" s="158" t="n">
        <v>46199.69695678241</v>
      </c>
      <c r="M842" s="154" t="inlineStr">
        <is>
          <t>6a3e8dfe89d3ecbe4cbf029b</t>
        </is>
      </c>
    </row>
    <row r="843">
      <c r="A843" s="154" t="inlineStr">
        <is>
          <t>Project Notos</t>
        </is>
      </c>
      <c r="B843" s="154" t="inlineStr">
        <is>
          <t>2.4.5.1</t>
        </is>
      </c>
      <c r="C843" s="155" t="inlineStr">
        <is>
          <t>RF_BS_2023_mthly-overview</t>
        </is>
      </c>
      <c r="D843" s="156" t="n"/>
      <c r="E843" s="156" t="n"/>
      <c r="F843" s="157">
        <f>HYPERLINK("https://app.global.datasite.com/webviewer/?projectId=696652ec0dc07cc02daa26a0&amp;documentId=6a3e8e0be0bdaeee784aee70","RF_BS_2023_mthly-overview")</f>
        <v/>
      </c>
      <c r="G843" s="154" t="inlineStr">
        <is>
          <t>DOCUMENT</t>
        </is>
      </c>
      <c r="H843" s="154" t="inlineStr">
        <is>
          <t>xlsx</t>
        </is>
      </c>
      <c r="I843" s="154" t="inlineStr">
        <is>
          <t>DOWNLOAD</t>
        </is>
      </c>
      <c r="J843" s="154" t="n">
        <v>0.02466487</v>
      </c>
      <c r="K843" s="154" t="inlineStr">
        <is>
          <t>Unread</t>
        </is>
      </c>
      <c r="L843" s="158" t="n">
        <v>46199.69695628472</v>
      </c>
      <c r="M843" s="154" t="inlineStr">
        <is>
          <t>6a3e8e0be0bdaeee784aee70</t>
        </is>
      </c>
    </row>
    <row r="844">
      <c r="A844" s="154" t="inlineStr">
        <is>
          <t>Project Notos</t>
        </is>
      </c>
      <c r="B844" s="154" t="inlineStr">
        <is>
          <t>2.4.5.2</t>
        </is>
      </c>
      <c r="C844" s="155" t="inlineStr">
        <is>
          <t>RF_BS_2024_mthly-overview</t>
        </is>
      </c>
      <c r="D844" s="156" t="n"/>
      <c r="E844" s="156" t="n"/>
      <c r="F844" s="157">
        <f>HYPERLINK("https://app.global.datasite.com/webviewer/?projectId=696652ec0dc07cc02daa26a0&amp;documentId=6a3e8e0be0bdaeee784aee71","RF_BS_2024_mthly-overview")</f>
        <v/>
      </c>
      <c r="G844" s="154" t="inlineStr">
        <is>
          <t>DOCUMENT</t>
        </is>
      </c>
      <c r="H844" s="154" t="inlineStr">
        <is>
          <t>xlsx</t>
        </is>
      </c>
      <c r="I844" s="154" t="inlineStr">
        <is>
          <t>DOWNLOAD</t>
        </is>
      </c>
      <c r="J844" s="154" t="n">
        <v>0.06956386000000001</v>
      </c>
      <c r="K844" s="154" t="inlineStr">
        <is>
          <t>Unread</t>
        </is>
      </c>
      <c r="L844" s="158" t="n">
        <v>46199.69695628472</v>
      </c>
      <c r="M844" s="154" t="inlineStr">
        <is>
          <t>6a3e8e0be0bdaeee784aee71</t>
        </is>
      </c>
    </row>
    <row r="845">
      <c r="A845" s="154" t="inlineStr">
        <is>
          <t>Project Notos</t>
        </is>
      </c>
      <c r="B845" s="154" t="inlineStr">
        <is>
          <t>2.4.5.3</t>
        </is>
      </c>
      <c r="C845" s="155" t="inlineStr">
        <is>
          <t>RF_BS_2025_mthly-overview</t>
        </is>
      </c>
      <c r="D845" s="156" t="n"/>
      <c r="E845" s="156" t="n"/>
      <c r="F845" s="157">
        <f>HYPERLINK("https://app.global.datasite.com/webviewer/?projectId=696652ec0dc07cc02daa26a0&amp;documentId=6a3e8e0be0bdaeee784aee72","RF_BS_2025_mthly-overview")</f>
        <v/>
      </c>
      <c r="G845" s="154" t="inlineStr">
        <is>
          <t>DOCUMENT</t>
        </is>
      </c>
      <c r="H845" s="154" t="inlineStr">
        <is>
          <t>xlsx</t>
        </is>
      </c>
      <c r="I845" s="154" t="inlineStr">
        <is>
          <t>DOWNLOAD</t>
        </is>
      </c>
      <c r="J845" s="154" t="n">
        <v>0.06884479</v>
      </c>
      <c r="K845" s="154" t="inlineStr">
        <is>
          <t>Unread</t>
        </is>
      </c>
      <c r="L845" s="158" t="n">
        <v>46199.69695628472</v>
      </c>
      <c r="M845" s="154" t="inlineStr">
        <is>
          <t>6a3e8e0be0bdaeee784aee72</t>
        </is>
      </c>
    </row>
    <row r="846">
      <c r="A846" s="154" t="inlineStr">
        <is>
          <t>Project Notos</t>
        </is>
      </c>
      <c r="B846" s="154" t="inlineStr">
        <is>
          <t>2.4.5.4</t>
        </is>
      </c>
      <c r="C846" s="155" t="inlineStr">
        <is>
          <t>RF_P&amp;L_2023_mthly-overview</t>
        </is>
      </c>
      <c r="D846" s="156" t="n"/>
      <c r="E846" s="156" t="n"/>
      <c r="F846" s="157">
        <f>HYPERLINK("https://app.global.datasite.com/webviewer/?projectId=696652ec0dc07cc02daa26a0&amp;documentId=6a3e8e0be0bdaeee784aee73","RF_P&amp;L_2023_mthly-overview")</f>
        <v/>
      </c>
      <c r="G846" s="154" t="inlineStr">
        <is>
          <t>DOCUMENT</t>
        </is>
      </c>
      <c r="H846" s="154" t="inlineStr">
        <is>
          <t>xlsx</t>
        </is>
      </c>
      <c r="I846" s="154" t="inlineStr">
        <is>
          <t>DOWNLOAD</t>
        </is>
      </c>
      <c r="J846" s="154" t="n">
        <v>0.05892753</v>
      </c>
      <c r="K846" s="154" t="inlineStr">
        <is>
          <t>Unread</t>
        </is>
      </c>
      <c r="L846" s="158" t="n">
        <v>46199.69695628472</v>
      </c>
      <c r="M846" s="154" t="inlineStr">
        <is>
          <t>6a3e8e0be0bdaeee784aee73</t>
        </is>
      </c>
    </row>
    <row r="847">
      <c r="A847" s="154" t="inlineStr">
        <is>
          <t>Project Notos</t>
        </is>
      </c>
      <c r="B847" s="154" t="inlineStr">
        <is>
          <t>2.4.5.5</t>
        </is>
      </c>
      <c r="C847" s="155" t="inlineStr">
        <is>
          <t>RF_P&amp;L_2024_mthly-overview</t>
        </is>
      </c>
      <c r="D847" s="156" t="n"/>
      <c r="E847" s="156" t="n"/>
      <c r="F847" s="157">
        <f>HYPERLINK("https://app.global.datasite.com/webviewer/?projectId=696652ec0dc07cc02daa26a0&amp;documentId=6a3e8e0be0bdaeee784aee74","RF_P&amp;L_2024_mthly-overview")</f>
        <v/>
      </c>
      <c r="G847" s="154" t="inlineStr">
        <is>
          <t>DOCUMENT</t>
        </is>
      </c>
      <c r="H847" s="154" t="inlineStr">
        <is>
          <t>xlsx</t>
        </is>
      </c>
      <c r="I847" s="154" t="inlineStr">
        <is>
          <t>DOWNLOAD</t>
        </is>
      </c>
      <c r="J847" s="154" t="n">
        <v>0.09044075</v>
      </c>
      <c r="K847" s="154" t="inlineStr">
        <is>
          <t>Unread</t>
        </is>
      </c>
      <c r="L847" s="158" t="n">
        <v>46199.69695628472</v>
      </c>
      <c r="M847" s="154" t="inlineStr">
        <is>
          <t>6a3e8e0be0bdaeee784aee74</t>
        </is>
      </c>
    </row>
    <row r="848">
      <c r="A848" s="154" t="inlineStr">
        <is>
          <t>Project Notos</t>
        </is>
      </c>
      <c r="B848" s="154" t="inlineStr">
        <is>
          <t>2.4.5.6</t>
        </is>
      </c>
      <c r="C848" s="155" t="inlineStr">
        <is>
          <t>RF_P&amp;L_2025_mthly-overview</t>
        </is>
      </c>
      <c r="D848" s="156" t="n"/>
      <c r="E848" s="156" t="n"/>
      <c r="F848" s="157">
        <f>HYPERLINK("https://app.global.datasite.com/webviewer/?projectId=696652ec0dc07cc02daa26a0&amp;documentId=6a3e8e0be0bdaeee784aee75","RF_P&amp;L_2025_mthly-overview")</f>
        <v/>
      </c>
      <c r="G848" s="154" t="inlineStr">
        <is>
          <t>DOCUMENT</t>
        </is>
      </c>
      <c r="H848" s="154" t="inlineStr">
        <is>
          <t>xlsx</t>
        </is>
      </c>
      <c r="I848" s="154" t="inlineStr">
        <is>
          <t>DOWNLOAD</t>
        </is>
      </c>
      <c r="J848" s="154" t="n">
        <v>0.08533954000000001</v>
      </c>
      <c r="K848" s="154" t="inlineStr">
        <is>
          <t>Unread</t>
        </is>
      </c>
      <c r="L848" s="158" t="n">
        <v>46199.69695628472</v>
      </c>
      <c r="M848" s="154" t="inlineStr">
        <is>
          <t>6a3e8e0be0bdaeee784aee75</t>
        </is>
      </c>
    </row>
    <row r="849">
      <c r="A849" s="149" t="inlineStr">
        <is>
          <t>Project Notos</t>
        </is>
      </c>
      <c r="B849" s="149" t="inlineStr">
        <is>
          <t>2.5</t>
        </is>
      </c>
      <c r="C849" s="17" t="inlineStr">
        <is>
          <t>Fertinger Tubes (FT)</t>
        </is>
      </c>
      <c r="D849" s="25" t="n"/>
      <c r="F849" s="150">
        <f>HYPERLINK("https://app.global.datasite.com/platform/container/696652ec0dc07cc02daa26a0/documents/content/index/698cb7213613a095ea713e52","Fertinger Tubes (FT)")</f>
        <v/>
      </c>
      <c r="G849" s="149" t="inlineStr">
        <is>
          <t>FOLDER</t>
        </is>
      </c>
      <c r="H849" s="149" t="n"/>
      <c r="I849" s="149" t="inlineStr">
        <is>
          <t>DOWNLOAD</t>
        </is>
      </c>
      <c r="J849" s="149" t="n"/>
      <c r="K849" s="149" t="inlineStr">
        <is>
          <t>Unread</t>
        </is>
      </c>
      <c r="L849" s="152" t="n">
        <v>46176.92764111111</v>
      </c>
      <c r="M849" s="149" t="inlineStr">
        <is>
          <t>698cb7213613a095ea713e52</t>
        </is>
      </c>
    </row>
    <row r="850">
      <c r="A850" s="149" t="inlineStr">
        <is>
          <t>Project Notos</t>
        </is>
      </c>
      <c r="B850" s="149" t="inlineStr">
        <is>
          <t>2.5.1</t>
        </is>
      </c>
      <c r="C850" s="17" t="inlineStr">
        <is>
          <t>Annual Accounts</t>
        </is>
      </c>
      <c r="D850" s="25" t="n"/>
      <c r="F850" s="150">
        <f>HYPERLINK("https://app.global.datasite.com/platform/container/696652ec0dc07cc02daa26a0/documents/content/index/698cc37c8beecc47853eb7f1","Annual Accounts")</f>
        <v/>
      </c>
      <c r="G850" s="149" t="inlineStr">
        <is>
          <t>FOLDER</t>
        </is>
      </c>
      <c r="H850" s="149" t="n"/>
      <c r="I850" s="149" t="inlineStr">
        <is>
          <t>DOWNLOAD</t>
        </is>
      </c>
      <c r="J850" s="149" t="n"/>
      <c r="K850" s="149" t="inlineStr">
        <is>
          <t>Unread</t>
        </is>
      </c>
      <c r="L850" s="152" t="n">
        <v>46176.92764111111</v>
      </c>
      <c r="M850" s="149" t="inlineStr">
        <is>
          <t>698cc37c8beecc47853eb7f1</t>
        </is>
      </c>
    </row>
    <row r="851">
      <c r="A851" t="inlineStr">
        <is>
          <t>Project Notos</t>
        </is>
      </c>
      <c r="B851" t="inlineStr">
        <is>
          <t>2.5.1.1</t>
        </is>
      </c>
      <c r="C851" s="15" t="inlineStr">
        <is>
          <t>FT Annual Accounts_31.12.2024</t>
        </is>
      </c>
      <c r="D851" s="20" t="inlineStr">
        <is>
          <t>Out-of-Scope</t>
        </is>
      </c>
      <c r="F851" s="151">
        <f>HYPERLINK("https://app.global.datasite.com/webviewer/?projectId=696652ec0dc07cc02daa26a0&amp;documentId=69c53bf2ecdbda6611aaeaae","FT Annual Accounts_31.12.2024")</f>
        <v/>
      </c>
      <c r="G851" t="inlineStr">
        <is>
          <t>DOCUMENT</t>
        </is>
      </c>
      <c r="H851" t="inlineStr">
        <is>
          <t>pdf</t>
        </is>
      </c>
      <c r="I851" t="inlineStr">
        <is>
          <t>DOWNLOAD</t>
        </is>
      </c>
      <c r="J851" t="n">
        <v>0.93615531</v>
      </c>
      <c r="K851" t="inlineStr">
        <is>
          <t>Unread</t>
        </is>
      </c>
      <c r="L851" s="153" t="n">
        <v>46176.92764111111</v>
      </c>
      <c r="M851" t="inlineStr">
        <is>
          <t>69c53bf2ecdbda6611aaeaae</t>
        </is>
      </c>
    </row>
    <row r="852">
      <c r="A852" t="inlineStr">
        <is>
          <t>Project Notos</t>
        </is>
      </c>
      <c r="B852" t="inlineStr">
        <is>
          <t>2.5.1.2</t>
        </is>
      </c>
      <c r="C852" s="15" t="inlineStr">
        <is>
          <t>FT Annual Accounts_31.12.2023</t>
        </is>
      </c>
      <c r="D852" s="20" t="inlineStr">
        <is>
          <t>Out-of-Scope</t>
        </is>
      </c>
      <c r="F852" s="151">
        <f>HYPERLINK("https://app.global.datasite.com/webviewer/?projectId=696652ec0dc07cc02daa26a0&amp;documentId=69c53c728bca90035498a913","FT Annual Accounts_31.12.2023")</f>
        <v/>
      </c>
      <c r="G852" t="inlineStr">
        <is>
          <t>DOCUMENT</t>
        </is>
      </c>
      <c r="H852" t="inlineStr">
        <is>
          <t>pdf</t>
        </is>
      </c>
      <c r="I852" t="inlineStr">
        <is>
          <t>DOWNLOAD</t>
        </is>
      </c>
      <c r="J852" t="n">
        <v>1.20018386</v>
      </c>
      <c r="K852" t="inlineStr">
        <is>
          <t>Unread</t>
        </is>
      </c>
      <c r="L852" s="153" t="n">
        <v>46176.92764111111</v>
      </c>
      <c r="M852" t="inlineStr">
        <is>
          <t>69c53c728bca90035498a913</t>
        </is>
      </c>
    </row>
    <row r="853">
      <c r="A853" t="inlineStr">
        <is>
          <t>Project Notos</t>
        </is>
      </c>
      <c r="B853" t="inlineStr">
        <is>
          <t>2.5.1.3</t>
        </is>
      </c>
      <c r="C853" s="15" t="inlineStr">
        <is>
          <t>FT Annual Accounts_31.12.2022</t>
        </is>
      </c>
      <c r="D853" s="20" t="inlineStr">
        <is>
          <t>Out-of-Scope</t>
        </is>
      </c>
      <c r="F853" s="151">
        <f>HYPERLINK("https://app.global.datasite.com/webviewer/?projectId=696652ec0dc07cc02daa26a0&amp;documentId=69c55854ede9e731bc903c57","FT Annual Accounts_31.12.2022")</f>
        <v/>
      </c>
      <c r="G853" t="inlineStr">
        <is>
          <t>DOCUMENT</t>
        </is>
      </c>
      <c r="H853" t="inlineStr">
        <is>
          <t>pdf</t>
        </is>
      </c>
      <c r="I853" t="inlineStr">
        <is>
          <t>DOWNLOAD</t>
        </is>
      </c>
      <c r="J853" t="n">
        <v>1.03559494</v>
      </c>
      <c r="K853" t="inlineStr">
        <is>
          <t>Unread</t>
        </is>
      </c>
      <c r="L853" s="153" t="n">
        <v>46176.92764111111</v>
      </c>
      <c r="M853" t="inlineStr">
        <is>
          <t>69c55854ede9e731bc903c57</t>
        </is>
      </c>
    </row>
    <row r="854">
      <c r="A854" t="inlineStr">
        <is>
          <t>Project Notos</t>
        </is>
      </c>
      <c r="B854" t="inlineStr">
        <is>
          <t>2.5.1.4</t>
        </is>
      </c>
      <c r="C854" t="inlineStr">
        <is>
          <t>251231_Fertinger Tubes</t>
        </is>
      </c>
      <c r="D854" s="20" t="inlineStr">
        <is>
          <t>Out-of-Scope</t>
        </is>
      </c>
      <c r="E854" s="35" t="n"/>
      <c r="F854" s="151" t="n">
        <v>0</v>
      </c>
      <c r="G854" t="inlineStr">
        <is>
          <t>DOCUMENT</t>
        </is>
      </c>
      <c r="H854" t="inlineStr">
        <is>
          <t>pdf</t>
        </is>
      </c>
      <c r="I854" t="inlineStr">
        <is>
          <t>DOWNLOAD</t>
        </is>
      </c>
      <c r="J854" t="n">
        <v>0.88233375</v>
      </c>
      <c r="K854" t="inlineStr">
        <is>
          <t>Unread</t>
        </is>
      </c>
      <c r="L854" s="153" t="n">
        <v>46192.74466922454</v>
      </c>
      <c r="M854" t="inlineStr">
        <is>
          <t>6a355e20319d689ab10f1538</t>
        </is>
      </c>
    </row>
    <row r="855">
      <c r="A855" s="154" t="inlineStr">
        <is>
          <t>Project Notos</t>
        </is>
      </c>
      <c r="B855" s="154" t="inlineStr">
        <is>
          <t>2.5.1.5</t>
        </is>
      </c>
      <c r="C855" s="155" t="inlineStr">
        <is>
          <t>FT_JAP - 01.10.2020 - 30.09.2021 - elektronisches Exemplar mit Wasserzeichen</t>
        </is>
      </c>
      <c r="D855" s="156" t="n"/>
      <c r="E855" s="156" t="n"/>
      <c r="F855" s="157">
        <f>HYPERLINK("https://app.global.datasite.com/webviewer/?projectId=696652ec0dc07cc02daa26a0&amp;documentId=6a3a8cfc2474c72c079d4cf0","FT_JAP - 01.10.2020 - 30.09.2021 - elektronisches Exemplar mit Wasserzeichen")</f>
        <v/>
      </c>
      <c r="G855" s="154" t="inlineStr">
        <is>
          <t>DOCUMENT</t>
        </is>
      </c>
      <c r="H855" s="154" t="inlineStr">
        <is>
          <t>pdf</t>
        </is>
      </c>
      <c r="I855" s="154" t="inlineStr">
        <is>
          <t>DOWNLOAD</t>
        </is>
      </c>
      <c r="J855" s="154" t="n">
        <v>3.71470355</v>
      </c>
      <c r="K855" s="154" t="inlineStr">
        <is>
          <t>Unread</t>
        </is>
      </c>
      <c r="L855" s="158" t="n">
        <v>46196.67944738426</v>
      </c>
      <c r="M855" s="154" t="inlineStr">
        <is>
          <t>6a3a8cfc2474c72c079d4cf0</t>
        </is>
      </c>
    </row>
    <row r="856">
      <c r="A856" s="154" t="inlineStr">
        <is>
          <t>Project Notos</t>
        </is>
      </c>
      <c r="B856" s="154" t="inlineStr">
        <is>
          <t>2.5.1.6</t>
        </is>
      </c>
      <c r="C856" s="155" t="inlineStr">
        <is>
          <t>FT_JAP - 01.10.2021 - 31.12.2021</t>
        </is>
      </c>
      <c r="D856" s="156" t="n"/>
      <c r="E856" s="156" t="n"/>
      <c r="F856" s="157">
        <f>HYPERLINK("https://app.global.datasite.com/webviewer/?projectId=696652ec0dc07cc02daa26a0&amp;documentId=6a3a8cfc2474c72c079d4cf1","FT_JAP - 01.10.2021 - 31.12.2021")</f>
        <v/>
      </c>
      <c r="G856" s="154" t="inlineStr">
        <is>
          <t>DOCUMENT</t>
        </is>
      </c>
      <c r="H856" s="154" t="inlineStr">
        <is>
          <t>pdf</t>
        </is>
      </c>
      <c r="I856" s="154" t="inlineStr">
        <is>
          <t>DOWNLOAD</t>
        </is>
      </c>
      <c r="J856" s="154" t="n">
        <v>4.28424644</v>
      </c>
      <c r="K856" s="154" t="inlineStr">
        <is>
          <t>Unread</t>
        </is>
      </c>
      <c r="L856" s="158" t="n">
        <v>46196.67931800926</v>
      </c>
      <c r="M856" s="154" t="inlineStr">
        <is>
          <t>6a3a8cfc2474c72c079d4cf1</t>
        </is>
      </c>
    </row>
    <row r="857">
      <c r="A857" s="154" t="inlineStr">
        <is>
          <t>Project Notos</t>
        </is>
      </c>
      <c r="B857" s="154" t="inlineStr">
        <is>
          <t>2.5.1.7</t>
        </is>
      </c>
      <c r="C857" s="155" t="inlineStr">
        <is>
          <t>FT_Feststellungen_2025</t>
        </is>
      </c>
      <c r="D857" s="156" t="n"/>
      <c r="E857" s="156" t="n"/>
      <c r="F857" s="157">
        <f>HYPERLINK("https://app.global.datasite.com/webviewer/?projectId=696652ec0dc07cc02daa26a0&amp;documentId=6a3e9f89d308e14131e4d3a3","FT_Feststellungen_2025")</f>
        <v/>
      </c>
      <c r="G857" s="154" t="inlineStr">
        <is>
          <t>DOCUMENT</t>
        </is>
      </c>
      <c r="H857" s="154" t="inlineStr">
        <is>
          <t>pdf</t>
        </is>
      </c>
      <c r="I857" s="154" t="inlineStr">
        <is>
          <t>DOWNLOAD</t>
        </is>
      </c>
      <c r="J857" s="154" t="n">
        <v>0.06248569</v>
      </c>
      <c r="K857" s="154" t="inlineStr">
        <is>
          <t>Unread</t>
        </is>
      </c>
      <c r="L857" s="158" t="n">
        <v>46199.74707769676</v>
      </c>
      <c r="M857" s="154" t="inlineStr">
        <is>
          <t>6a3e9f89d308e14131e4d3a3</t>
        </is>
      </c>
    </row>
    <row r="858">
      <c r="A858" s="149" t="inlineStr">
        <is>
          <t>Project Notos</t>
        </is>
      </c>
      <c r="B858" s="149" t="inlineStr">
        <is>
          <t>2.5.2</t>
        </is>
      </c>
      <c r="C858" s="17" t="inlineStr">
        <is>
          <t>Payables / Receivables Aging</t>
        </is>
      </c>
      <c r="D858" s="25" t="n"/>
      <c r="F858" s="150">
        <f>HYPERLINK("https://app.global.datasite.com/platform/container/696652ec0dc07cc02daa26a0/documents/content/index/6a0f351ed16bf56f90665af4","Payables / Receivables Aging")</f>
        <v/>
      </c>
      <c r="G858" s="149" t="inlineStr">
        <is>
          <t>FOLDER</t>
        </is>
      </c>
      <c r="H858" s="149" t="n"/>
      <c r="I858" s="149" t="inlineStr">
        <is>
          <t>DOWNLOAD</t>
        </is>
      </c>
      <c r="J858" s="149" t="n"/>
      <c r="K858" s="149" t="inlineStr">
        <is>
          <t>Unread</t>
        </is>
      </c>
      <c r="L858" s="152" t="n">
        <v>46176.92764111111</v>
      </c>
      <c r="M858" s="149" t="inlineStr">
        <is>
          <t>6a0f351ed16bf56f90665af4</t>
        </is>
      </c>
    </row>
    <row r="859">
      <c r="A859" t="inlineStr">
        <is>
          <t>Project Notos</t>
        </is>
      </c>
      <c r="B859" t="inlineStr">
        <is>
          <t>2.5.2.1</t>
        </is>
      </c>
      <c r="C859" s="15" t="inlineStr">
        <is>
          <t>Receivables 30.04.2026_anonymized</t>
        </is>
      </c>
      <c r="D859" s="20" t="inlineStr">
        <is>
          <t>Out-of-Scope</t>
        </is>
      </c>
      <c r="F859" s="151">
        <f>HYPERLINK("https://app.global.datasite.com/webviewer/?projectId=696652ec0dc07cc02daa26a0&amp;documentId=6a0f3dde24bdb3f2d087ae51","Receivables 30.04.2026_anonymized")</f>
        <v/>
      </c>
      <c r="G859" t="inlineStr">
        <is>
          <t>DOCUMENT</t>
        </is>
      </c>
      <c r="H859" t="inlineStr">
        <is>
          <t>xlsx</t>
        </is>
      </c>
      <c r="I859" t="inlineStr">
        <is>
          <t>DOWNLOAD</t>
        </is>
      </c>
      <c r="J859" t="n">
        <v>0.03250789</v>
      </c>
      <c r="K859" t="inlineStr">
        <is>
          <t>Unread</t>
        </is>
      </c>
      <c r="L859" s="153" t="n">
        <v>46176.92764111111</v>
      </c>
      <c r="M859" t="inlineStr">
        <is>
          <t>6a0f3dde24bdb3f2d087ae51</t>
        </is>
      </c>
    </row>
    <row r="860">
      <c r="A860" t="inlineStr">
        <is>
          <t>Project Notos</t>
        </is>
      </c>
      <c r="B860" t="inlineStr">
        <is>
          <t>2.5.2.2</t>
        </is>
      </c>
      <c r="C860" s="15" t="inlineStr">
        <is>
          <t>Payables 30.04.2026_anonymized</t>
        </is>
      </c>
      <c r="D860" s="20" t="inlineStr">
        <is>
          <t>Out-of-Scope</t>
        </is>
      </c>
      <c r="F860" s="151">
        <f>HYPERLINK("https://app.global.datasite.com/webviewer/?projectId=696652ec0dc07cc02daa26a0&amp;documentId=6a0f3dde24bdb3f2d087ae52","Payables 30.04.2026_anonymized")</f>
        <v/>
      </c>
      <c r="G860" t="inlineStr">
        <is>
          <t>DOCUMENT</t>
        </is>
      </c>
      <c r="H860" t="inlineStr">
        <is>
          <t>xlsx</t>
        </is>
      </c>
      <c r="I860" t="inlineStr">
        <is>
          <t>DOWNLOAD</t>
        </is>
      </c>
      <c r="J860" t="n">
        <v>0.04544448</v>
      </c>
      <c r="K860" t="inlineStr">
        <is>
          <t>Unread</t>
        </is>
      </c>
      <c r="L860" s="153" t="n">
        <v>46176.92764111111</v>
      </c>
      <c r="M860" t="inlineStr">
        <is>
          <t>6a0f3dde24bdb3f2d087ae52</t>
        </is>
      </c>
    </row>
    <row r="861">
      <c r="A861" t="inlineStr">
        <is>
          <t>Project Notos</t>
        </is>
      </c>
      <c r="B861" t="inlineStr">
        <is>
          <t>2.5.2.3</t>
        </is>
      </c>
      <c r="C861" t="inlineStr">
        <is>
          <t>FT_aging AR_as of 31.05.2026</t>
        </is>
      </c>
      <c r="D861" s="20" t="inlineStr">
        <is>
          <t>Out-of-Scope</t>
        </is>
      </c>
      <c r="F861" s="151" t="n">
        <v>0</v>
      </c>
      <c r="G861" t="inlineStr">
        <is>
          <t>DOCUMENT</t>
        </is>
      </c>
      <c r="H861" t="inlineStr">
        <is>
          <t>xlsx</t>
        </is>
      </c>
      <c r="I861" t="inlineStr">
        <is>
          <t>DOWNLOAD</t>
        </is>
      </c>
      <c r="J861" t="n">
        <v>0.01342964</v>
      </c>
      <c r="K861" t="inlineStr">
        <is>
          <t>Unread</t>
        </is>
      </c>
      <c r="L861" s="153" t="n">
        <v>46181.86929681713</v>
      </c>
      <c r="M861" t="inlineStr">
        <is>
          <t>6a270e0cd8e5d08e59f2bfcf</t>
        </is>
      </c>
    </row>
    <row r="862">
      <c r="A862" s="154" t="inlineStr">
        <is>
          <t>Project Notos</t>
        </is>
      </c>
      <c r="B862" s="154" t="inlineStr">
        <is>
          <t>2.5.2.4</t>
        </is>
      </c>
      <c r="C862" s="155" t="inlineStr">
        <is>
          <t>FT_AP_31.12.2023</t>
        </is>
      </c>
      <c r="D862" s="156" t="n"/>
      <c r="E862" s="156" t="n"/>
      <c r="F862" s="157">
        <f>HYPERLINK("https://app.global.datasite.com/webviewer/?projectId=696652ec0dc07cc02daa26a0&amp;documentId=6a3bc5c6d3e46919af31089d","FT_AP_31.12.2023")</f>
        <v/>
      </c>
      <c r="G862" s="154" t="inlineStr">
        <is>
          <t>DOCUMENT</t>
        </is>
      </c>
      <c r="H862" s="154" t="inlineStr">
        <is>
          <t>xlsx</t>
        </is>
      </c>
      <c r="I862" s="154" t="inlineStr">
        <is>
          <t>DOWNLOAD</t>
        </is>
      </c>
      <c r="J862" s="154" t="n">
        <v>0.0448122</v>
      </c>
      <c r="K862" s="154" t="inlineStr">
        <is>
          <t>Unread</t>
        </is>
      </c>
      <c r="L862" s="158" t="n">
        <v>46198.71644685185</v>
      </c>
      <c r="M862" s="154" t="inlineStr">
        <is>
          <t>6a3bc5c6d3e46919af31089d</t>
        </is>
      </c>
    </row>
    <row r="863">
      <c r="A863" s="154" t="inlineStr">
        <is>
          <t>Project Notos</t>
        </is>
      </c>
      <c r="B863" s="154" t="inlineStr">
        <is>
          <t>2.5.2.5</t>
        </is>
      </c>
      <c r="C863" s="155" t="inlineStr">
        <is>
          <t>FT_AP_31.12.2024</t>
        </is>
      </c>
      <c r="D863" s="156" t="n"/>
      <c r="E863" s="156" t="n"/>
      <c r="F863" s="157">
        <f>HYPERLINK("https://app.global.datasite.com/webviewer/?projectId=696652ec0dc07cc02daa26a0&amp;documentId=6a3bc68edf403c5ca767809b","FT_AP_31.12.2024")</f>
        <v/>
      </c>
      <c r="G863" s="154" t="inlineStr">
        <is>
          <t>DOCUMENT</t>
        </is>
      </c>
      <c r="H863" s="154" t="inlineStr">
        <is>
          <t>xlsx</t>
        </is>
      </c>
      <c r="I863" s="154" t="inlineStr">
        <is>
          <t>DOWNLOAD</t>
        </is>
      </c>
      <c r="J863" s="154" t="n">
        <v>0.03996372</v>
      </c>
      <c r="K863" s="154" t="inlineStr">
        <is>
          <t>Unread</t>
        </is>
      </c>
      <c r="L863" s="158" t="n">
        <v>46198.71644685185</v>
      </c>
      <c r="M863" s="154" t="inlineStr">
        <is>
          <t>6a3bc68edf403c5ca767809b</t>
        </is>
      </c>
    </row>
    <row r="864">
      <c r="A864" s="154" t="inlineStr">
        <is>
          <t>Project Notos</t>
        </is>
      </c>
      <c r="B864" s="154" t="inlineStr">
        <is>
          <t>2.5.2.6</t>
        </is>
      </c>
      <c r="C864" s="155" t="inlineStr">
        <is>
          <t>FT_AP_31.12.2025</t>
        </is>
      </c>
      <c r="D864" s="156" t="n"/>
      <c r="E864" s="156" t="n"/>
      <c r="F864" s="157">
        <f>HYPERLINK("https://app.global.datasite.com/webviewer/?projectId=696652ec0dc07cc02daa26a0&amp;documentId=6a3bc826a444533360162c72","FT_AP_31.12.2025")</f>
        <v/>
      </c>
      <c r="G864" s="154" t="inlineStr">
        <is>
          <t>DOCUMENT</t>
        </is>
      </c>
      <c r="H864" s="154" t="inlineStr">
        <is>
          <t>xlsx</t>
        </is>
      </c>
      <c r="I864" s="154" t="inlineStr">
        <is>
          <t>DOWNLOAD</t>
        </is>
      </c>
      <c r="J864" s="154" t="n">
        <v>0.0333805</v>
      </c>
      <c r="K864" s="154" t="inlineStr">
        <is>
          <t>Unread</t>
        </is>
      </c>
      <c r="L864" s="158" t="n">
        <v>46198.71644685185</v>
      </c>
      <c r="M864" s="154" t="inlineStr">
        <is>
          <t>6a3bc826a444533360162c72</t>
        </is>
      </c>
    </row>
    <row r="865">
      <c r="A865" s="154" t="inlineStr">
        <is>
          <t>Project Notos</t>
        </is>
      </c>
      <c r="B865" s="154" t="inlineStr">
        <is>
          <t>2.5.2.7</t>
        </is>
      </c>
      <c r="C865" s="155" t="inlineStr">
        <is>
          <t>FT_AR_31.12.2023</t>
        </is>
      </c>
      <c r="D865" s="156" t="n"/>
      <c r="E865" s="156" t="n"/>
      <c r="F865" s="157">
        <f>HYPERLINK("https://app.global.datasite.com/webviewer/?projectId=696652ec0dc07cc02daa26a0&amp;documentId=6a3bcb0cf34b5ecd55a4b552","FT_AR_31.12.2023")</f>
        <v/>
      </c>
      <c r="G865" s="154" t="inlineStr">
        <is>
          <t>DOCUMENT</t>
        </is>
      </c>
      <c r="H865" s="154" t="inlineStr">
        <is>
          <t>xlsx</t>
        </is>
      </c>
      <c r="I865" s="154" t="inlineStr">
        <is>
          <t>DOWNLOAD</t>
        </is>
      </c>
      <c r="J865" s="154" t="n">
        <v>0.05093193</v>
      </c>
      <c r="K865" s="154" t="inlineStr">
        <is>
          <t>Unread</t>
        </is>
      </c>
      <c r="L865" s="158" t="n">
        <v>46198.71644685185</v>
      </c>
      <c r="M865" s="154" t="inlineStr">
        <is>
          <t>6a3bcb0cf34b5ecd55a4b552</t>
        </is>
      </c>
    </row>
    <row r="866">
      <c r="A866" s="154" t="inlineStr">
        <is>
          <t>Project Notos</t>
        </is>
      </c>
      <c r="B866" s="154" t="inlineStr">
        <is>
          <t>2.5.2.8</t>
        </is>
      </c>
      <c r="C866" s="155" t="inlineStr">
        <is>
          <t>FT_AR_31.12.2024</t>
        </is>
      </c>
      <c r="D866" s="156" t="n"/>
      <c r="E866" s="156" t="n"/>
      <c r="F866" s="157">
        <f>HYPERLINK("https://app.global.datasite.com/webviewer/?projectId=696652ec0dc07cc02daa26a0&amp;documentId=6a3bcc1ea73fcd832d772a4c","FT_AR_31.12.2024")</f>
        <v/>
      </c>
      <c r="G866" s="154" t="inlineStr">
        <is>
          <t>DOCUMENT</t>
        </is>
      </c>
      <c r="H866" s="154" t="inlineStr">
        <is>
          <t>xlsx</t>
        </is>
      </c>
      <c r="I866" s="154" t="inlineStr">
        <is>
          <t>DOWNLOAD</t>
        </is>
      </c>
      <c r="J866" s="154" t="n">
        <v>0.03997325</v>
      </c>
      <c r="K866" s="154" t="inlineStr">
        <is>
          <t>Unread</t>
        </is>
      </c>
      <c r="L866" s="158" t="n">
        <v>46198.71644685185</v>
      </c>
      <c r="M866" s="154" t="inlineStr">
        <is>
          <t>6a3bcc1ea73fcd832d772a4c</t>
        </is>
      </c>
    </row>
    <row r="867">
      <c r="A867" s="154" t="inlineStr">
        <is>
          <t>Project Notos</t>
        </is>
      </c>
      <c r="B867" s="154" t="inlineStr">
        <is>
          <t>2.5.2.9</t>
        </is>
      </c>
      <c r="C867" s="155" t="inlineStr">
        <is>
          <t>FT_AR_31.12.2025</t>
        </is>
      </c>
      <c r="D867" s="156" t="n"/>
      <c r="E867" s="156" t="n"/>
      <c r="F867" s="157">
        <f>HYPERLINK("https://app.global.datasite.com/webviewer/?projectId=696652ec0dc07cc02daa26a0&amp;documentId=6a3bcd61d068d307edad64b0","FT_AR_31.12.2025")</f>
        <v/>
      </c>
      <c r="G867" s="154" t="inlineStr">
        <is>
          <t>DOCUMENT</t>
        </is>
      </c>
      <c r="H867" s="154" t="inlineStr">
        <is>
          <t>xlsx</t>
        </is>
      </c>
      <c r="I867" s="154" t="inlineStr">
        <is>
          <t>DOWNLOAD</t>
        </is>
      </c>
      <c r="J867" s="154" t="n">
        <v>0.03581714</v>
      </c>
      <c r="K867" s="154" t="inlineStr">
        <is>
          <t>Unread</t>
        </is>
      </c>
      <c r="L867" s="158" t="n">
        <v>46198.71644685185</v>
      </c>
      <c r="M867" s="154" t="inlineStr">
        <is>
          <t>6a3bcd61d068d307edad64b0</t>
        </is>
      </c>
    </row>
    <row r="868">
      <c r="A868" s="149" t="inlineStr">
        <is>
          <t>Project Notos</t>
        </is>
      </c>
      <c r="B868" s="149" t="inlineStr">
        <is>
          <t>2.5.3</t>
        </is>
      </c>
      <c r="C868" s="17" t="inlineStr">
        <is>
          <t>CAPEX</t>
        </is>
      </c>
      <c r="D868" s="25" t="n"/>
      <c r="F868" s="150">
        <f>HYPERLINK("https://app.global.datasite.com/platform/container/696652ec0dc07cc02daa26a0/documents/content/index/6a1d8e57a30300007eaf9817","CAPEX")</f>
        <v/>
      </c>
      <c r="G868" s="149" t="inlineStr">
        <is>
          <t>FOLDER</t>
        </is>
      </c>
      <c r="H868" s="149" t="n"/>
      <c r="I868" s="149" t="inlineStr">
        <is>
          <t>DOWNLOAD</t>
        </is>
      </c>
      <c r="J868" s="149" t="n"/>
      <c r="K868" s="149" t="inlineStr">
        <is>
          <t>Unread</t>
        </is>
      </c>
      <c r="L868" s="152" t="n">
        <v>46176.92764111111</v>
      </c>
      <c r="M868" s="149" t="inlineStr">
        <is>
          <t>6a1d8e57a30300007eaf9817</t>
        </is>
      </c>
    </row>
    <row r="869">
      <c r="A869" t="inlineStr">
        <is>
          <t>Project Notos</t>
        </is>
      </c>
      <c r="B869" t="inlineStr">
        <is>
          <t>2.5.3.1</t>
        </is>
      </c>
      <c r="C869" s="15" t="inlineStr">
        <is>
          <t>FT_CAPEX 2023-2025 inkl 2026 BUD</t>
        </is>
      </c>
      <c r="D869" s="20" t="inlineStr">
        <is>
          <t>Out-of-Scope</t>
        </is>
      </c>
      <c r="F869" s="151">
        <f>HYPERLINK("https://app.global.datasite.com/webviewer/?projectId=696652ec0dc07cc02daa26a0&amp;documentId=6a1d8e675e05b660ca6cf510","FT_CAPEX 2023-2025 inkl 2026 BUD")</f>
        <v/>
      </c>
      <c r="G869" t="inlineStr">
        <is>
          <t>DOCUMENT</t>
        </is>
      </c>
      <c r="H869" t="inlineStr">
        <is>
          <t>xlsx</t>
        </is>
      </c>
      <c r="I869" t="inlineStr">
        <is>
          <t>DOWNLOAD</t>
        </is>
      </c>
      <c r="J869" t="n">
        <v>0.00944614</v>
      </c>
      <c r="K869" t="inlineStr">
        <is>
          <t>Unread</t>
        </is>
      </c>
      <c r="L869" s="153" t="n">
        <v>46176.92764111111</v>
      </c>
      <c r="M869" t="inlineStr">
        <is>
          <t>6a1d8e675e05b660ca6cf510</t>
        </is>
      </c>
    </row>
    <row r="870">
      <c r="A870" s="149" t="inlineStr">
        <is>
          <t>Project Notos</t>
        </is>
      </c>
      <c r="B870" s="149" t="inlineStr">
        <is>
          <t>2.5.4</t>
        </is>
      </c>
      <c r="C870" s="149" t="inlineStr">
        <is>
          <t>Management Reporting</t>
        </is>
      </c>
      <c r="D870" s="149" t="n"/>
      <c r="E870" s="35" t="n"/>
      <c r="F870" s="150" t="n">
        <v>0</v>
      </c>
      <c r="G870" s="149" t="inlineStr">
        <is>
          <t>FOLDER</t>
        </is>
      </c>
      <c r="H870" s="149" t="n"/>
      <c r="I870" s="149" t="inlineStr">
        <is>
          <t>DOWNLOAD</t>
        </is>
      </c>
      <c r="J870" s="149" t="n"/>
      <c r="K870" s="149" t="inlineStr">
        <is>
          <t>Unread</t>
        </is>
      </c>
      <c r="L870" s="152" t="n">
        <v>46189.89808641204</v>
      </c>
      <c r="M870" s="149" t="inlineStr">
        <is>
          <t>6a3195501f308c13cea298bf</t>
        </is>
      </c>
    </row>
    <row r="871">
      <c r="A871" t="inlineStr">
        <is>
          <t>Project Notos</t>
        </is>
      </c>
      <c r="B871" t="inlineStr">
        <is>
          <t>2.5.4.1</t>
        </is>
      </c>
      <c r="C871" t="inlineStr">
        <is>
          <t>FT_P&amp;L BS 2023 monthly</t>
        </is>
      </c>
      <c r="D871" s="20" t="inlineStr">
        <is>
          <t>Out-of-Scope</t>
        </is>
      </c>
      <c r="E871" s="35" t="n"/>
      <c r="F871" s="151" t="n">
        <v>0</v>
      </c>
      <c r="G871" t="inlineStr">
        <is>
          <t>DOCUMENT</t>
        </is>
      </c>
      <c r="H871" t="inlineStr">
        <is>
          <t>xlsm</t>
        </is>
      </c>
      <c r="I871" t="inlineStr">
        <is>
          <t>DOWNLOAD</t>
        </is>
      </c>
      <c r="J871" t="n">
        <v>0.05167579</v>
      </c>
      <c r="K871" t="inlineStr">
        <is>
          <t>Unread</t>
        </is>
      </c>
      <c r="L871" s="153" t="n">
        <v>46189.89808606482</v>
      </c>
      <c r="M871" t="inlineStr">
        <is>
          <t>6a31a49b0da614c011c498c9</t>
        </is>
      </c>
    </row>
    <row r="872">
      <c r="A872" t="inlineStr">
        <is>
          <t>Project Notos</t>
        </is>
      </c>
      <c r="B872" t="inlineStr">
        <is>
          <t>2.5.4.2</t>
        </is>
      </c>
      <c r="C872" t="inlineStr">
        <is>
          <t>FT_P&amp;L BS 2024 monthly</t>
        </is>
      </c>
      <c r="D872" s="20" t="inlineStr">
        <is>
          <t>Out-of-Scope</t>
        </is>
      </c>
      <c r="E872" s="35" t="n"/>
      <c r="F872" s="151" t="n">
        <v>0</v>
      </c>
      <c r="G872" t="inlineStr">
        <is>
          <t>DOCUMENT</t>
        </is>
      </c>
      <c r="H872" t="inlineStr">
        <is>
          <t>xlsm</t>
        </is>
      </c>
      <c r="I872" t="inlineStr">
        <is>
          <t>DOWNLOAD</t>
        </is>
      </c>
      <c r="J872" t="n">
        <v>0.05093288</v>
      </c>
      <c r="K872" t="inlineStr">
        <is>
          <t>Unread</t>
        </is>
      </c>
      <c r="L872" s="153" t="n">
        <v>46189.89808606482</v>
      </c>
      <c r="M872" t="inlineStr">
        <is>
          <t>6a31a4adc9f247668b321b2a</t>
        </is>
      </c>
    </row>
    <row r="873">
      <c r="A873" s="154" t="inlineStr">
        <is>
          <t>Project Notos</t>
        </is>
      </c>
      <c r="B873" s="154" t="inlineStr">
        <is>
          <t>2.5.4.3</t>
        </is>
      </c>
      <c r="C873" s="155" t="inlineStr">
        <is>
          <t>FT_P&amp;L BS 2025 monthly</t>
        </is>
      </c>
      <c r="D873" s="156" t="n"/>
      <c r="E873" s="156" t="n"/>
      <c r="F873" s="157">
        <f>HYPERLINK("https://app.global.datasite.com/webviewer/?projectId=696652ec0dc07cc02daa26a0&amp;documentId=6a3ba71fee562f6771416f85","FT_P&amp;L BS 2025 monthly")</f>
        <v/>
      </c>
      <c r="G873" s="154" t="inlineStr">
        <is>
          <t>DOCUMENT</t>
        </is>
      </c>
      <c r="H873" s="154" t="inlineStr">
        <is>
          <t>xlsx</t>
        </is>
      </c>
      <c r="I873" s="154" t="inlineStr">
        <is>
          <t>DOWNLOAD</t>
        </is>
      </c>
      <c r="J873" s="154" t="n">
        <v>0.05090618</v>
      </c>
      <c r="K873" s="154" t="inlineStr">
        <is>
          <t>Unread</t>
        </is>
      </c>
      <c r="L873" s="158" t="n">
        <v>46197.49869695602</v>
      </c>
      <c r="M873" s="154" t="inlineStr">
        <is>
          <t>6a3ba71fee562f6771416f85</t>
        </is>
      </c>
    </row>
    <row r="874">
      <c r="A874" s="149" t="inlineStr">
        <is>
          <t>Project Notos</t>
        </is>
      </c>
      <c r="B874" s="149" t="inlineStr">
        <is>
          <t>2.5.5</t>
        </is>
      </c>
      <c r="C874" s="149" t="inlineStr">
        <is>
          <t>Fixed Assets</t>
        </is>
      </c>
      <c r="D874" s="149" t="n"/>
      <c r="E874" s="35" t="n"/>
      <c r="F874" s="150" t="n">
        <v>0</v>
      </c>
      <c r="G874" s="149" t="inlineStr">
        <is>
          <t>FOLDER</t>
        </is>
      </c>
      <c r="H874" s="149" t="n"/>
      <c r="I874" s="149" t="inlineStr">
        <is>
          <t>DOWNLOAD</t>
        </is>
      </c>
      <c r="J874" s="149" t="n"/>
      <c r="K874" s="149" t="inlineStr">
        <is>
          <t>Unread</t>
        </is>
      </c>
      <c r="L874" s="152" t="n">
        <v>46189.91939769676</v>
      </c>
      <c r="M874" s="149" t="inlineStr">
        <is>
          <t>6a3199d1c9f247668b3218e4</t>
        </is>
      </c>
    </row>
    <row r="875">
      <c r="A875" t="inlineStr">
        <is>
          <t>Project Notos</t>
        </is>
      </c>
      <c r="B875" t="inlineStr">
        <is>
          <t>2.5.5.1</t>
        </is>
      </c>
      <c r="C875" t="inlineStr">
        <is>
          <t>FT_Fixed Asset Register_31.12.2025</t>
        </is>
      </c>
      <c r="D875" s="20" t="inlineStr">
        <is>
          <t>Out-of-Scope</t>
        </is>
      </c>
      <c r="E875" s="35" t="n"/>
      <c r="F875" s="151" t="n">
        <v>0</v>
      </c>
      <c r="G875" t="inlineStr">
        <is>
          <t>DOCUMENT</t>
        </is>
      </c>
      <c r="H875" t="inlineStr">
        <is>
          <t>xlsx</t>
        </is>
      </c>
      <c r="I875" t="inlineStr">
        <is>
          <t>DOWNLOAD</t>
        </is>
      </c>
      <c r="J875" t="n">
        <v>0.15674877</v>
      </c>
      <c r="K875" t="inlineStr">
        <is>
          <t>Unread</t>
        </is>
      </c>
      <c r="L875" s="153" t="n">
        <v>46189.91939733797</v>
      </c>
      <c r="M875" t="inlineStr">
        <is>
          <t>6a31ab70c9f247668b321d15</t>
        </is>
      </c>
    </row>
    <row r="876">
      <c r="A876" s="154" t="inlineStr">
        <is>
          <t>Project Notos</t>
        </is>
      </c>
      <c r="B876" s="154" t="inlineStr">
        <is>
          <t>2.5.5.2</t>
        </is>
      </c>
      <c r="C876" s="155" t="inlineStr">
        <is>
          <t>FT_Anlagenspiegel Übersicht und Einzelaufstellung 2025</t>
        </is>
      </c>
      <c r="D876" s="156" t="n"/>
      <c r="E876" s="156" t="n"/>
      <c r="F876" s="157">
        <f>HYPERLINK("https://app.global.datasite.com/webviewer/?projectId=696652ec0dc07cc02daa26a0&amp;documentId=6a3d47d7d69a9f2f78417016","FT_Anlagenspiegel Übersicht und Einzelaufstellung 2025")</f>
        <v/>
      </c>
      <c r="G876" s="154" t="inlineStr">
        <is>
          <t>DOCUMENT</t>
        </is>
      </c>
      <c r="H876" s="154" t="inlineStr">
        <is>
          <t>xlsx</t>
        </is>
      </c>
      <c r="I876" s="154" t="inlineStr">
        <is>
          <t>DOWNLOAD</t>
        </is>
      </c>
      <c r="J876" s="154" t="n">
        <v>0.16334342</v>
      </c>
      <c r="K876" s="154" t="inlineStr">
        <is>
          <t>Unread</t>
        </is>
      </c>
      <c r="L876" s="158" t="n">
        <v>46198.72711672453</v>
      </c>
      <c r="M876" s="154" t="inlineStr">
        <is>
          <t>6a3d47d7d69a9f2f78417016</t>
        </is>
      </c>
    </row>
    <row r="877">
      <c r="A877" s="154" t="inlineStr">
        <is>
          <t>Project Notos</t>
        </is>
      </c>
      <c r="B877" s="154" t="inlineStr">
        <is>
          <t>2.5.6</t>
        </is>
      </c>
      <c r="C877" s="155" t="inlineStr">
        <is>
          <t>Inventory</t>
        </is>
      </c>
      <c r="D877" s="156" t="n"/>
      <c r="E877" s="156" t="n"/>
      <c r="F877" s="157">
        <f>HYPERLINK("https://app.global.datasite.com/platform/container/696652ec0dc07cc02daa26a0/documents/content/index/6a3bc0a1f17f96c69ac5b030","Inventory")</f>
        <v/>
      </c>
      <c r="G877" s="154" t="inlineStr">
        <is>
          <t>FOLDER</t>
        </is>
      </c>
      <c r="H877" s="154" t="n"/>
      <c r="I877" s="154" t="inlineStr">
        <is>
          <t>DOWNLOAD</t>
        </is>
      </c>
      <c r="J877" s="154" t="n"/>
      <c r="K877" s="154" t="inlineStr">
        <is>
          <t>Unread</t>
        </is>
      </c>
      <c r="L877" s="158" t="n">
        <v>46198.72779076389</v>
      </c>
      <c r="M877" s="154" t="inlineStr">
        <is>
          <t>6a3bc0a1f17f96c69ac5b030</t>
        </is>
      </c>
    </row>
    <row r="878">
      <c r="A878" s="154" t="inlineStr">
        <is>
          <t>Project Notos</t>
        </is>
      </c>
      <c r="B878" s="154" t="inlineStr">
        <is>
          <t>2.5.6.1</t>
        </is>
      </c>
      <c r="C878" s="155" t="inlineStr">
        <is>
          <t>FT_Bestandsbewertung_2025_12</t>
        </is>
      </c>
      <c r="D878" s="156" t="n"/>
      <c r="E878" s="156" t="n"/>
      <c r="F878" s="157">
        <f>HYPERLINK("https://app.global.datasite.com/webviewer/?projectId=696652ec0dc07cc02daa26a0&amp;documentId=6a3bc181a444533360162a90","FT_Bestandsbewertung_2025_12")</f>
        <v/>
      </c>
      <c r="G878" s="154" t="inlineStr">
        <is>
          <t>DOCUMENT</t>
        </is>
      </c>
      <c r="H878" s="154" t="inlineStr">
        <is>
          <t>xlsx</t>
        </is>
      </c>
      <c r="I878" s="154" t="inlineStr">
        <is>
          <t>DOWNLOAD</t>
        </is>
      </c>
      <c r="J878" s="154" t="n">
        <v>0.02174758</v>
      </c>
      <c r="K878" s="154" t="inlineStr">
        <is>
          <t>Unread</t>
        </is>
      </c>
      <c r="L878" s="158" t="n">
        <v>46198.72779032408</v>
      </c>
      <c r="M878" s="154" t="inlineStr">
        <is>
          <t>6a3bc181a444533360162a90</t>
        </is>
      </c>
    </row>
    <row r="879">
      <c r="A879" s="149" t="inlineStr">
        <is>
          <t>Project Notos</t>
        </is>
      </c>
      <c r="B879" s="149" t="inlineStr">
        <is>
          <t>2.6</t>
        </is>
      </c>
      <c r="C879" s="17" t="inlineStr">
        <is>
          <t>Innerio Group GmbH (IG)</t>
        </is>
      </c>
      <c r="D879" s="25" t="n"/>
      <c r="F879" s="150">
        <f>HYPERLINK("https://app.global.datasite.com/platform/container/696652ec0dc07cc02daa26a0/documents/content/index/698cb7213613a095ea713e53","Innerio Group GmbH (IG)")</f>
        <v/>
      </c>
      <c r="G879" s="149" t="inlineStr">
        <is>
          <t>FOLDER</t>
        </is>
      </c>
      <c r="H879" s="149" t="n"/>
      <c r="I879" s="149" t="inlineStr">
        <is>
          <t>DOWNLOAD</t>
        </is>
      </c>
      <c r="J879" s="149" t="n"/>
      <c r="K879" s="149" t="inlineStr">
        <is>
          <t>Unread</t>
        </is>
      </c>
      <c r="L879" s="152" t="n">
        <v>46176.92764111111</v>
      </c>
      <c r="M879" s="149" t="inlineStr">
        <is>
          <t>698cb7213613a095ea713e53</t>
        </is>
      </c>
    </row>
    <row r="880" s="148">
      <c r="A880" s="149" t="inlineStr">
        <is>
          <t>Project Notos</t>
        </is>
      </c>
      <c r="B880" s="149" t="inlineStr">
        <is>
          <t>2.6.1</t>
        </is>
      </c>
      <c r="C880" s="17" t="inlineStr">
        <is>
          <t>Annual Accounts</t>
        </is>
      </c>
      <c r="D880" s="25" t="n"/>
      <c r="F880" s="150">
        <f>HYPERLINK("https://app.global.datasite.com/platform/container/696652ec0dc07cc02daa26a0/documents/content/index/698cc38915e348f1a2434d17","Annual Accounts")</f>
        <v/>
      </c>
      <c r="G880" s="149" t="inlineStr">
        <is>
          <t>FOLDER</t>
        </is>
      </c>
      <c r="H880" s="149" t="n"/>
      <c r="I880" s="149" t="inlineStr">
        <is>
          <t>DOWNLOAD</t>
        </is>
      </c>
      <c r="J880" s="149" t="n"/>
      <c r="K880" s="149" t="inlineStr">
        <is>
          <t>Unread</t>
        </is>
      </c>
      <c r="L880" s="152" t="n">
        <v>46176.92764111111</v>
      </c>
      <c r="M880" s="149" t="inlineStr">
        <is>
          <t>698cc38915e348f1a2434d17</t>
        </is>
      </c>
    </row>
    <row r="881" s="148">
      <c r="A881" t="inlineStr">
        <is>
          <t>Project Notos</t>
        </is>
      </c>
      <c r="B881" t="inlineStr">
        <is>
          <t>2.6.1.1</t>
        </is>
      </c>
      <c r="C881" s="15" t="inlineStr">
        <is>
          <t>IG_Annual Accounts 2025_single entity</t>
        </is>
      </c>
      <c r="D881" s="20" t="inlineStr">
        <is>
          <t>Out-of-Scope</t>
        </is>
      </c>
      <c r="F881" s="151">
        <f>HYPERLINK("https://app.global.datasite.com/webviewer/?projectId=696652ec0dc07cc02daa26a0&amp;documentId=69e8d852b50cd320ddc1ffcb","IG_Annual Accounts 2025_single entity")</f>
        <v/>
      </c>
      <c r="G881" t="inlineStr">
        <is>
          <t>DOCUMENT</t>
        </is>
      </c>
      <c r="H881" t="inlineStr">
        <is>
          <t>pdf</t>
        </is>
      </c>
      <c r="I881" t="inlineStr">
        <is>
          <t>DOWNLOAD</t>
        </is>
      </c>
      <c r="J881" t="n">
        <v>2.76307582</v>
      </c>
      <c r="K881" t="inlineStr">
        <is>
          <t>Unread</t>
        </is>
      </c>
      <c r="L881" s="153" t="n">
        <v>46176.92764111111</v>
      </c>
      <c r="M881" t="inlineStr">
        <is>
          <t>69e8d852b50cd320ddc1ffcb</t>
        </is>
      </c>
    </row>
    <row r="882">
      <c r="A882" t="inlineStr">
        <is>
          <t>Project Notos</t>
        </is>
      </c>
      <c r="B882" t="inlineStr">
        <is>
          <t>2.6.1.2</t>
        </is>
      </c>
      <c r="C882" s="15" t="inlineStr">
        <is>
          <t>IG_Annual Accounts 2024_single entity</t>
        </is>
      </c>
      <c r="D882" s="20" t="inlineStr">
        <is>
          <t>Out-of-Scope</t>
        </is>
      </c>
      <c r="F882" s="151">
        <f>HYPERLINK("https://app.global.datasite.com/webviewer/?projectId=696652ec0dc07cc02daa26a0&amp;documentId=69c539b38014561b8617e34a","IG_Annual Accounts 2024_single entity")</f>
        <v/>
      </c>
      <c r="G882" t="inlineStr">
        <is>
          <t>DOCUMENT</t>
        </is>
      </c>
      <c r="H882" t="inlineStr">
        <is>
          <t>pdf</t>
        </is>
      </c>
      <c r="I882" t="inlineStr">
        <is>
          <t>DOWNLOAD</t>
        </is>
      </c>
      <c r="J882" t="n">
        <v>1.2735176</v>
      </c>
      <c r="K882" t="inlineStr">
        <is>
          <t>Unread</t>
        </is>
      </c>
      <c r="L882" s="153" t="n">
        <v>46176.92764111111</v>
      </c>
      <c r="M882" t="inlineStr">
        <is>
          <t>69c539b38014561b8617e34a</t>
        </is>
      </c>
    </row>
    <row r="883">
      <c r="A883" t="inlineStr">
        <is>
          <t>Project Notos</t>
        </is>
      </c>
      <c r="B883" t="inlineStr">
        <is>
          <t>2.6.1.3</t>
        </is>
      </c>
      <c r="C883" s="15" t="inlineStr">
        <is>
          <t>IG_Annual Accounts 2023_single entity</t>
        </is>
      </c>
      <c r="D883" s="20" t="inlineStr">
        <is>
          <t>Out-of-Scope</t>
        </is>
      </c>
      <c r="F883" s="151">
        <f>HYPERLINK("https://app.global.datasite.com/webviewer/?projectId=696652ec0dc07cc02daa26a0&amp;documentId=69c55d35f2516408b588f8b8","IG_Annual Accounts 2023_single entity")</f>
        <v/>
      </c>
      <c r="G883" t="inlineStr">
        <is>
          <t>DOCUMENT</t>
        </is>
      </c>
      <c r="H883" t="inlineStr">
        <is>
          <t>pdf</t>
        </is>
      </c>
      <c r="I883" t="inlineStr">
        <is>
          <t>DOWNLOAD</t>
        </is>
      </c>
      <c r="J883" t="n">
        <v>0.34307384</v>
      </c>
      <c r="K883" t="inlineStr">
        <is>
          <t>Unread</t>
        </is>
      </c>
      <c r="L883" s="153" t="n">
        <v>46176.92764111111</v>
      </c>
      <c r="M883" t="inlineStr">
        <is>
          <t>69c55d35f2516408b588f8b8</t>
        </is>
      </c>
    </row>
    <row r="884" s="148">
      <c r="A884" t="inlineStr">
        <is>
          <t>Project Notos</t>
        </is>
      </c>
      <c r="B884" t="inlineStr">
        <is>
          <t>2.6.1.4</t>
        </is>
      </c>
      <c r="C884" s="15" t="inlineStr">
        <is>
          <t>IG_Annual Accounts 2022_single entity</t>
        </is>
      </c>
      <c r="D884" s="20" t="inlineStr">
        <is>
          <t>Out-of-Scope</t>
        </is>
      </c>
      <c r="F884" s="151">
        <f>HYPERLINK("https://app.global.datasite.com/webviewer/?projectId=696652ec0dc07cc02daa26a0&amp;documentId=69c55d35f2516408b588f8b9","IG_Annual Accounts 2022_single entity")</f>
        <v/>
      </c>
      <c r="G884" t="inlineStr">
        <is>
          <t>DOCUMENT</t>
        </is>
      </c>
      <c r="H884" t="inlineStr">
        <is>
          <t>pdf</t>
        </is>
      </c>
      <c r="I884" t="inlineStr">
        <is>
          <t>DOWNLOAD</t>
        </is>
      </c>
      <c r="J884" t="n">
        <v>0.32229709</v>
      </c>
      <c r="K884" t="inlineStr">
        <is>
          <t>Unread</t>
        </is>
      </c>
      <c r="L884" s="153" t="n">
        <v>46176.92764111111</v>
      </c>
      <c r="M884" t="inlineStr">
        <is>
          <t>69c55d35f2516408b588f8b9</t>
        </is>
      </c>
    </row>
    <row r="885">
      <c r="A885" s="149" t="inlineStr">
        <is>
          <t>Project Notos</t>
        </is>
      </c>
      <c r="B885" s="149" t="inlineStr">
        <is>
          <t>2.7</t>
        </is>
      </c>
      <c r="C885" s="17" t="inlineStr">
        <is>
          <t>Innerio Immobilien GmbH</t>
        </is>
      </c>
      <c r="D885" s="25" t="n"/>
      <c r="F885" s="150">
        <f>HYPERLINK("https://app.global.datasite.com/platform/container/696652ec0dc07cc02daa26a0/documents/content/index/698cb7213613a095ea713e54","Innerio Immobilien GmbH")</f>
        <v/>
      </c>
      <c r="G885" s="149" t="inlineStr">
        <is>
          <t>FOLDER</t>
        </is>
      </c>
      <c r="H885" s="149" t="n"/>
      <c r="I885" s="149" t="inlineStr">
        <is>
          <t>DOWNLOAD</t>
        </is>
      </c>
      <c r="J885" s="149" t="n"/>
      <c r="K885" s="149" t="inlineStr">
        <is>
          <t>Unread</t>
        </is>
      </c>
      <c r="L885" s="152" t="n">
        <v>46176.92764111111</v>
      </c>
      <c r="M885" s="149" t="inlineStr">
        <is>
          <t>698cb7213613a095ea713e54</t>
        </is>
      </c>
    </row>
    <row r="886">
      <c r="A886" s="149" t="inlineStr">
        <is>
          <t>Project Notos</t>
        </is>
      </c>
      <c r="B886" s="149" t="inlineStr">
        <is>
          <t>2.7.1</t>
        </is>
      </c>
      <c r="C886" s="17" t="inlineStr">
        <is>
          <t>Annual Accounts</t>
        </is>
      </c>
      <c r="D886" s="25" t="n"/>
      <c r="F886" s="150">
        <f>HYPERLINK("https://app.global.datasite.com/platform/container/696652ec0dc07cc02daa26a0/documents/content/index/698cc39343d755123c890e50","Annual Accounts")</f>
        <v/>
      </c>
      <c r="G886" s="149" t="inlineStr">
        <is>
          <t>FOLDER</t>
        </is>
      </c>
      <c r="H886" s="149" t="n"/>
      <c r="I886" s="149" t="inlineStr">
        <is>
          <t>DOWNLOAD</t>
        </is>
      </c>
      <c r="J886" s="149" t="n"/>
      <c r="K886" s="149" t="inlineStr">
        <is>
          <t>Unread</t>
        </is>
      </c>
      <c r="L886" s="152" t="n">
        <v>46176.92764111111</v>
      </c>
      <c r="M886" s="149" t="inlineStr">
        <is>
          <t>698cc39343d755123c890e50</t>
        </is>
      </c>
    </row>
    <row r="887">
      <c r="A887" t="inlineStr">
        <is>
          <t>Project Notos</t>
        </is>
      </c>
      <c r="B887" t="inlineStr">
        <is>
          <t>2.7.1.1</t>
        </is>
      </c>
      <c r="C887" s="15" t="inlineStr">
        <is>
          <t>IG Annual Accounts_31.12.2024</t>
        </is>
      </c>
      <c r="D887" s="20" t="inlineStr">
        <is>
          <t>Out-of-Scope</t>
        </is>
      </c>
      <c r="F887" s="151">
        <f>HYPERLINK("https://app.global.datasite.com/webviewer/?projectId=696652ec0dc07cc02daa26a0&amp;documentId=69c53c22f2516408b588e53b","IG Annual Accounts_31.12.2024")</f>
        <v/>
      </c>
      <c r="G887" t="inlineStr">
        <is>
          <t>DOCUMENT</t>
        </is>
      </c>
      <c r="H887" t="inlineStr">
        <is>
          <t>pdf</t>
        </is>
      </c>
      <c r="I887" t="inlineStr">
        <is>
          <t>DOWNLOAD</t>
        </is>
      </c>
      <c r="J887" t="n">
        <v>0.68036746</v>
      </c>
      <c r="K887" t="inlineStr">
        <is>
          <t>Unread</t>
        </is>
      </c>
      <c r="L887" s="153" t="n">
        <v>46176.92764111111</v>
      </c>
      <c r="M887" t="inlineStr">
        <is>
          <t>69c53c22f2516408b588e53b</t>
        </is>
      </c>
    </row>
    <row r="888">
      <c r="A888" t="inlineStr">
        <is>
          <t>Project Notos</t>
        </is>
      </c>
      <c r="B888" t="inlineStr">
        <is>
          <t>2.7.1.2</t>
        </is>
      </c>
      <c r="C888" s="15" t="inlineStr">
        <is>
          <t>IG Annual Accounts_31.12.2023</t>
        </is>
      </c>
      <c r="D888" s="20" t="inlineStr">
        <is>
          <t>Out-of-Scope</t>
        </is>
      </c>
      <c r="F888" s="151">
        <f>HYPERLINK("https://app.global.datasite.com/webviewer/?projectId=696652ec0dc07cc02daa26a0&amp;documentId=69c53c4a1fb084738d526258","IG Annual Accounts_31.12.2023")</f>
        <v/>
      </c>
      <c r="G888" t="inlineStr">
        <is>
          <t>DOCUMENT</t>
        </is>
      </c>
      <c r="H888" t="inlineStr">
        <is>
          <t>pdf</t>
        </is>
      </c>
      <c r="I888" t="inlineStr">
        <is>
          <t>DOWNLOAD</t>
        </is>
      </c>
      <c r="J888" t="n">
        <v>0.51785659</v>
      </c>
      <c r="K888" t="inlineStr">
        <is>
          <t>Unread</t>
        </is>
      </c>
      <c r="L888" s="153" t="n">
        <v>46176.92764111111</v>
      </c>
      <c r="M888" t="inlineStr">
        <is>
          <t>69c53c4a1fb084738d526258</t>
        </is>
      </c>
    </row>
    <row r="889">
      <c r="A889" t="inlineStr">
        <is>
          <t>Project Notos</t>
        </is>
      </c>
      <c r="B889" t="inlineStr">
        <is>
          <t>2.7.1.3</t>
        </is>
      </c>
      <c r="C889" s="15" t="inlineStr">
        <is>
          <t>IG Annual Accounts_31.12.2022</t>
        </is>
      </c>
      <c r="D889" s="20" t="inlineStr">
        <is>
          <t>Out-of-Scope</t>
        </is>
      </c>
      <c r="F889" s="151">
        <f>HYPERLINK("https://app.global.datasite.com/webviewer/?projectId=696652ec0dc07cc02daa26a0&amp;documentId=69c55e7c8bca90035498c0c7","IG Annual Accounts_31.12.2022")</f>
        <v/>
      </c>
      <c r="G889" t="inlineStr">
        <is>
          <t>DOCUMENT</t>
        </is>
      </c>
      <c r="H889" t="inlineStr">
        <is>
          <t>pdf</t>
        </is>
      </c>
      <c r="I889" t="inlineStr">
        <is>
          <t>DOWNLOAD</t>
        </is>
      </c>
      <c r="J889" t="n">
        <v>0.58327484</v>
      </c>
      <c r="K889" t="inlineStr">
        <is>
          <t>Unread</t>
        </is>
      </c>
      <c r="L889" s="153" t="n">
        <v>46176.92764111111</v>
      </c>
      <c r="M889" t="inlineStr">
        <is>
          <t>69c55e7c8bca90035498c0c7</t>
        </is>
      </c>
    </row>
    <row r="890">
      <c r="A890" t="inlineStr">
        <is>
          <t>Project Notos</t>
        </is>
      </c>
      <c r="B890" t="inlineStr">
        <is>
          <t>2.7.1.4</t>
        </is>
      </c>
      <c r="C890" t="inlineStr">
        <is>
          <t>IG Annual Accounts_31.12.2025</t>
        </is>
      </c>
      <c r="D890" s="20" t="inlineStr">
        <is>
          <t>Out-of-Scope</t>
        </is>
      </c>
      <c r="E890" s="35" t="n"/>
      <c r="F890" s="151" t="n">
        <v>0</v>
      </c>
      <c r="G890" t="inlineStr">
        <is>
          <t>DOCUMENT</t>
        </is>
      </c>
      <c r="H890" t="inlineStr">
        <is>
          <t>pdf</t>
        </is>
      </c>
      <c r="I890" t="inlineStr">
        <is>
          <t>DOWNLOAD</t>
        </is>
      </c>
      <c r="J890" t="n">
        <v>0.31019973</v>
      </c>
      <c r="K890" t="inlineStr">
        <is>
          <t>Unread</t>
        </is>
      </c>
      <c r="L890" s="153" t="n">
        <v>46191.67423987269</v>
      </c>
      <c r="M890" t="inlineStr">
        <is>
          <t>6a33fbe87007e1f3f2e47936</t>
        </is>
      </c>
    </row>
    <row r="891">
      <c r="A891" s="149" t="inlineStr">
        <is>
          <t>Project Notos</t>
        </is>
      </c>
      <c r="B891" s="149" t="inlineStr">
        <is>
          <t>2.8</t>
        </is>
      </c>
      <c r="C891" s="17" t="inlineStr">
        <is>
          <t>Fertinger Automotive Polska Sp. Z o.o. (FAP)</t>
        </is>
      </c>
      <c r="D891" s="25" t="n"/>
      <c r="F891" s="150">
        <f>HYPERLINK("https://app.global.datasite.com/platform/container/696652ec0dc07cc02daa26a0/documents/content/index/698cc3a543d755123c890e54","Fertinger Automotive Polska Sp. Z o.o. (FAP)")</f>
        <v/>
      </c>
      <c r="G891" s="149" t="inlineStr">
        <is>
          <t>FOLDER</t>
        </is>
      </c>
      <c r="H891" s="149" t="n"/>
      <c r="I891" s="149" t="inlineStr">
        <is>
          <t>DOWNLOAD</t>
        </is>
      </c>
      <c r="J891" s="149" t="n"/>
      <c r="K891" s="149" t="inlineStr">
        <is>
          <t>Unread</t>
        </is>
      </c>
      <c r="L891" s="152" t="n">
        <v>46176.92764111111</v>
      </c>
      <c r="M891" s="149" t="inlineStr">
        <is>
          <t>698cc3a543d755123c890e54</t>
        </is>
      </c>
    </row>
    <row r="892">
      <c r="A892" s="149" t="inlineStr">
        <is>
          <t>Project Notos</t>
        </is>
      </c>
      <c r="B892" s="149" t="inlineStr">
        <is>
          <t>2.8.1</t>
        </is>
      </c>
      <c r="C892" s="17" t="inlineStr">
        <is>
          <t>Annual Accounts</t>
        </is>
      </c>
      <c r="D892" s="25" t="n"/>
      <c r="F892" s="150">
        <f>HYPERLINK("https://app.global.datasite.com/platform/container/696652ec0dc07cc02daa26a0/documents/content/index/698cc3b2cd666bb795894a04","Annual Accounts")</f>
        <v/>
      </c>
      <c r="G892" s="149" t="inlineStr">
        <is>
          <t>FOLDER</t>
        </is>
      </c>
      <c r="H892" s="149" t="n"/>
      <c r="I892" s="149" t="inlineStr">
        <is>
          <t>DOWNLOAD</t>
        </is>
      </c>
      <c r="J892" s="149" t="n"/>
      <c r="K892" s="149" t="inlineStr">
        <is>
          <t>Unread</t>
        </is>
      </c>
      <c r="L892" s="152" t="n">
        <v>46176.92764111111</v>
      </c>
      <c r="M892" s="149" t="inlineStr">
        <is>
          <t>698cc3b2cd666bb795894a04</t>
        </is>
      </c>
    </row>
    <row r="893">
      <c r="A893" t="inlineStr">
        <is>
          <t>Project Notos</t>
        </is>
      </c>
      <c r="B893" t="inlineStr">
        <is>
          <t>2.8.1.1</t>
        </is>
      </c>
      <c r="C893" s="15" t="inlineStr">
        <is>
          <t>FAP Annual Accounts_31.12.2023_auditor report (Polish)</t>
        </is>
      </c>
      <c r="D893" s="20" t="inlineStr">
        <is>
          <t>Out-of-Scope</t>
        </is>
      </c>
      <c r="F893" s="151">
        <f>HYPERLINK("https://app.global.datasite.com/webviewer/?projectId=696652ec0dc07cc02daa26a0&amp;documentId=69c53e748fcb7339a23fc7d4","FAP Annual Accounts_31.12.2023_auditor report (Polish)")</f>
        <v/>
      </c>
      <c r="G893" t="inlineStr">
        <is>
          <t>DOCUMENT</t>
        </is>
      </c>
      <c r="H893" t="inlineStr">
        <is>
          <t>pdf</t>
        </is>
      </c>
      <c r="I893" t="inlineStr">
        <is>
          <t>DOWNLOAD</t>
        </is>
      </c>
      <c r="J893" t="n">
        <v>0.77276802</v>
      </c>
      <c r="K893" t="inlineStr">
        <is>
          <t>Unread</t>
        </is>
      </c>
      <c r="L893" s="153" t="n">
        <v>46176.92764111111</v>
      </c>
      <c r="M893" t="inlineStr">
        <is>
          <t>69c53e748fcb7339a23fc7d4</t>
        </is>
      </c>
    </row>
    <row r="894">
      <c r="A894" t="inlineStr">
        <is>
          <t>Project Notos</t>
        </is>
      </c>
      <c r="B894" t="inlineStr">
        <is>
          <t>2.8.1.2</t>
        </is>
      </c>
      <c r="C894" s="15" t="inlineStr">
        <is>
          <t>FAP Annual Accounts_31.12.2023_management report (English)</t>
        </is>
      </c>
      <c r="D894" s="20" t="inlineStr">
        <is>
          <t>Out-of-Scope</t>
        </is>
      </c>
      <c r="F894" s="151">
        <f>HYPERLINK("https://app.global.datasite.com/webviewer/?projectId=696652ec0dc07cc02daa26a0&amp;documentId=69c53ebe9d9e98a960edc15a","FAP Annual Accounts_31.12.2023_management report (English)")</f>
        <v/>
      </c>
      <c r="G894" t="inlineStr">
        <is>
          <t>DOCUMENT</t>
        </is>
      </c>
      <c r="H894" t="inlineStr">
        <is>
          <t>pdf</t>
        </is>
      </c>
      <c r="I894" t="inlineStr">
        <is>
          <t>DOWNLOAD</t>
        </is>
      </c>
      <c r="J894" t="n">
        <v>0.10460281</v>
      </c>
      <c r="K894" t="inlineStr">
        <is>
          <t>Unread</t>
        </is>
      </c>
      <c r="L894" s="153" t="n">
        <v>46176.92764111111</v>
      </c>
      <c r="M894" t="inlineStr">
        <is>
          <t>69c53ebe9d9e98a960edc15a</t>
        </is>
      </c>
    </row>
    <row r="895">
      <c r="A895" t="inlineStr">
        <is>
          <t>Project Notos</t>
        </is>
      </c>
      <c r="B895" t="inlineStr">
        <is>
          <t>2.8.1.3</t>
        </is>
      </c>
      <c r="C895" s="15" t="inlineStr">
        <is>
          <t>FAP Annual Accounts_31.12.2024 (Polish)</t>
        </is>
      </c>
      <c r="D895" s="20" t="inlineStr">
        <is>
          <t>Out-of-Scope</t>
        </is>
      </c>
      <c r="F895" s="151">
        <f>HYPERLINK("https://app.global.datasite.com/webviewer/?projectId=696652ec0dc07cc02daa26a0&amp;documentId=69cf745ce7d2926ece8a5452","FAP Annual Accounts_31.12.2024 (Polish)")</f>
        <v/>
      </c>
      <c r="G895" t="inlineStr">
        <is>
          <t>DOCUMENT</t>
        </is>
      </c>
      <c r="H895" t="inlineStr">
        <is>
          <t>pdf</t>
        </is>
      </c>
      <c r="I895" t="inlineStr">
        <is>
          <t>DOWNLOAD</t>
        </is>
      </c>
      <c r="J895" t="n">
        <v>5.54161643</v>
      </c>
      <c r="K895" t="inlineStr">
        <is>
          <t>Unread</t>
        </is>
      </c>
      <c r="L895" s="153" t="n">
        <v>46176.92764111111</v>
      </c>
      <c r="M895" t="inlineStr">
        <is>
          <t>69cf745ce7d2926ece8a5452</t>
        </is>
      </c>
    </row>
    <row r="896">
      <c r="A896" t="inlineStr">
        <is>
          <t>Project Notos</t>
        </is>
      </c>
      <c r="B896" t="inlineStr">
        <is>
          <t>2.8.1.4</t>
        </is>
      </c>
      <c r="C896" s="15" t="inlineStr">
        <is>
          <t>Przeglądarka e-sprawozdań finansowych 2022</t>
        </is>
      </c>
      <c r="D896" s="20" t="inlineStr">
        <is>
          <t>Out-of-Scope</t>
        </is>
      </c>
      <c r="F896" s="151">
        <f>HYPERLINK("https://app.global.datasite.com/webviewer/?projectId=696652ec0dc07cc02daa26a0&amp;documentId=69e8eb10e09016073d3360f3","Przeglądarka e-sprawozdań finansowych 2022")</f>
        <v/>
      </c>
      <c r="G896" t="inlineStr">
        <is>
          <t>DOCUMENT</t>
        </is>
      </c>
      <c r="H896" t="inlineStr">
        <is>
          <t>pdf</t>
        </is>
      </c>
      <c r="I896" t="inlineStr">
        <is>
          <t>DOWNLOAD</t>
        </is>
      </c>
      <c r="J896" t="n">
        <v>0.57129287</v>
      </c>
      <c r="K896" t="inlineStr">
        <is>
          <t>Unread</t>
        </is>
      </c>
      <c r="L896" s="153" t="n">
        <v>46176.92764111111</v>
      </c>
      <c r="M896" t="inlineStr">
        <is>
          <t>69e8eb10e09016073d3360f3</t>
        </is>
      </c>
    </row>
    <row r="897">
      <c r="A897" t="inlineStr">
        <is>
          <t>Project Notos</t>
        </is>
      </c>
      <c r="B897" t="inlineStr">
        <is>
          <t>2.8.1.5</t>
        </is>
      </c>
      <c r="C897" s="15" t="inlineStr">
        <is>
          <t>informacja_dodatkowa_Fertinger_do_SF_2022</t>
        </is>
      </c>
      <c r="D897" s="20" t="inlineStr">
        <is>
          <t>Out-of-Scope</t>
        </is>
      </c>
      <c r="F897" s="151">
        <f>HYPERLINK("https://app.global.datasite.com/webviewer/?projectId=696652ec0dc07cc02daa26a0&amp;documentId=69e8eb10e09016073d3360f4","informacja_dodatkowa_Fertinger_do_SF_2022")</f>
        <v/>
      </c>
      <c r="G897" t="inlineStr">
        <is>
          <t>DOCUMENT</t>
        </is>
      </c>
      <c r="H897" t="inlineStr">
        <is>
          <t>pdf</t>
        </is>
      </c>
      <c r="I897" t="inlineStr">
        <is>
          <t>DOWNLOAD</t>
        </is>
      </c>
      <c r="J897" t="n">
        <v>0.23859977</v>
      </c>
      <c r="K897" t="inlineStr">
        <is>
          <t>Unread</t>
        </is>
      </c>
      <c r="L897" s="153" t="n">
        <v>46176.92764111111</v>
      </c>
      <c r="M897" t="inlineStr">
        <is>
          <t>69e8eb10e09016073d3360f4</t>
        </is>
      </c>
    </row>
    <row r="898">
      <c r="A898" s="149" t="inlineStr">
        <is>
          <t>Project Notos</t>
        </is>
      </c>
      <c r="B898" s="149" t="inlineStr">
        <is>
          <t>2.9</t>
        </is>
      </c>
      <c r="C898" s="17" t="inlineStr">
        <is>
          <t>Fertinger Automotive North America Inc. (FA US)</t>
        </is>
      </c>
      <c r="D898" s="25" t="n"/>
      <c r="F898" s="150">
        <f>HYPERLINK("https://app.global.datasite.com/platform/container/696652ec0dc07cc02daa26a0/documents/content/index/69c55923f823513bf7f4ff46","Fertinger Automotive North America Inc. (FA US)")</f>
        <v/>
      </c>
      <c r="G898" s="149" t="inlineStr">
        <is>
          <t>FOLDER</t>
        </is>
      </c>
      <c r="H898" s="149" t="n"/>
      <c r="I898" s="149" t="inlineStr">
        <is>
          <t>DOWNLOAD</t>
        </is>
      </c>
      <c r="J898" s="149" t="n"/>
      <c r="K898" s="149" t="inlineStr">
        <is>
          <t>Unread</t>
        </is>
      </c>
      <c r="L898" s="152" t="n">
        <v>46176.92764111111</v>
      </c>
      <c r="M898" s="149" t="inlineStr">
        <is>
          <t>69c55923f823513bf7f4ff46</t>
        </is>
      </c>
    </row>
    <row r="899" s="148">
      <c r="A899" s="149" t="inlineStr">
        <is>
          <t>Project Notos</t>
        </is>
      </c>
      <c r="B899" s="149" t="inlineStr">
        <is>
          <t>2.9.1</t>
        </is>
      </c>
      <c r="C899" s="17" t="inlineStr">
        <is>
          <t xml:space="preserve">Financials </t>
        </is>
      </c>
      <c r="D899" s="25" t="n"/>
      <c r="F899" s="150">
        <f>HYPERLINK("https://app.global.datasite.com/platform/container/696652ec0dc07cc02daa26a0/documents/content/index/69c559e9d71dfed7bae6e498","Financials ")</f>
        <v/>
      </c>
      <c r="G899" s="149" t="inlineStr">
        <is>
          <t>FOLDER</t>
        </is>
      </c>
      <c r="H899" s="149" t="n"/>
      <c r="I899" s="149" t="inlineStr">
        <is>
          <t>DOWNLOAD</t>
        </is>
      </c>
      <c r="J899" s="149" t="n"/>
      <c r="K899" s="149" t="inlineStr">
        <is>
          <t>Unread</t>
        </is>
      </c>
      <c r="L899" s="152" t="n">
        <v>46176.92764111111</v>
      </c>
      <c r="M899" s="149" t="inlineStr">
        <is>
          <t>69c559e9d71dfed7bae6e498</t>
        </is>
      </c>
    </row>
    <row r="900" s="148">
      <c r="A900" t="inlineStr">
        <is>
          <t>Project Notos</t>
        </is>
      </c>
      <c r="B900" t="inlineStr">
        <is>
          <t>2.9.1.1</t>
        </is>
      </c>
      <c r="C900" s="15" t="inlineStr">
        <is>
          <t>FA US Financials 2022_2025</t>
        </is>
      </c>
      <c r="D900" s="20" t="inlineStr">
        <is>
          <t>Out-of-Scope</t>
        </is>
      </c>
      <c r="F900" s="151">
        <f>HYPERLINK("https://app.global.datasite.com/webviewer/?projectId=696652ec0dc07cc02daa26a0&amp;documentId=69c559f3f823513bf7f4ff58","FA US Financials 2022_2025")</f>
        <v/>
      </c>
      <c r="G900" t="inlineStr">
        <is>
          <t>DOCUMENT</t>
        </is>
      </c>
      <c r="H900" t="inlineStr">
        <is>
          <t>xlsx</t>
        </is>
      </c>
      <c r="I900" t="inlineStr">
        <is>
          <t>DOWNLOAD</t>
        </is>
      </c>
      <c r="J900" t="n">
        <v>0.03060531</v>
      </c>
      <c r="K900" t="inlineStr">
        <is>
          <t>Unread</t>
        </is>
      </c>
      <c r="L900" s="153" t="n">
        <v>46176.92764111111</v>
      </c>
      <c r="M900" t="inlineStr">
        <is>
          <t>69c559f3f823513bf7f4ff58</t>
        </is>
      </c>
    </row>
    <row r="901">
      <c r="A901" s="149" t="inlineStr">
        <is>
          <t>Project Notos</t>
        </is>
      </c>
      <c r="B901" s="149" t="inlineStr">
        <is>
          <t>2.10</t>
        </is>
      </c>
      <c r="C901" s="17" t="inlineStr">
        <is>
          <t>Innerio (Changsha) Thermal Technology Co. Ltd. (ITTC)</t>
        </is>
      </c>
      <c r="D901" s="25" t="n"/>
      <c r="F901" s="150">
        <f>HYPERLINK("https://app.global.datasite.com/platform/container/696652ec0dc07cc02daa26a0/documents/content/index/69c55bcdf823513bf7f502d3","Innerio (Changsha) Thermal Technology Co. Ltd. (ITTC)")</f>
        <v/>
      </c>
      <c r="G901" s="149" t="inlineStr">
        <is>
          <t>FOLDER</t>
        </is>
      </c>
      <c r="H901" s="149" t="n"/>
      <c r="I901" s="149" t="inlineStr">
        <is>
          <t>DOWNLOAD</t>
        </is>
      </c>
      <c r="J901" s="149" t="n"/>
      <c r="K901" s="149" t="inlineStr">
        <is>
          <t>Unread</t>
        </is>
      </c>
      <c r="L901" s="152" t="n">
        <v>46176.92764111111</v>
      </c>
      <c r="M901" s="149" t="inlineStr">
        <is>
          <t>69c55bcdf823513bf7f502d3</t>
        </is>
      </c>
    </row>
    <row r="902">
      <c r="A902" s="149" t="inlineStr">
        <is>
          <t>Project Notos</t>
        </is>
      </c>
      <c r="B902" s="149" t="inlineStr">
        <is>
          <t>2.10.1</t>
        </is>
      </c>
      <c r="C902" s="17" t="inlineStr">
        <is>
          <t>Financials</t>
        </is>
      </c>
      <c r="D902" s="25" t="n"/>
      <c r="F902" s="150">
        <f>HYPERLINK("https://app.global.datasite.com/platform/container/696652ec0dc07cc02daa26a0/documents/content/index/69c55c13d71dfed7bae6eaf1","Financials")</f>
        <v/>
      </c>
      <c r="G902" s="149" t="inlineStr">
        <is>
          <t>FOLDER</t>
        </is>
      </c>
      <c r="H902" s="149" t="n"/>
      <c r="I902" s="149" t="inlineStr">
        <is>
          <t>DOWNLOAD</t>
        </is>
      </c>
      <c r="J902" s="149" t="n"/>
      <c r="K902" s="149" t="inlineStr">
        <is>
          <t>Unread</t>
        </is>
      </c>
      <c r="L902" s="152" t="n">
        <v>46176.92764111111</v>
      </c>
      <c r="M902" s="149" t="inlineStr">
        <is>
          <t>69c55c13d71dfed7bae6eaf1</t>
        </is>
      </c>
    </row>
    <row r="903">
      <c r="A903" s="149" t="inlineStr">
        <is>
          <t>Project Notos</t>
        </is>
      </c>
      <c r="B903" s="149" t="inlineStr">
        <is>
          <t>2.10.1.1</t>
        </is>
      </c>
      <c r="C903" s="17" t="inlineStr">
        <is>
          <t>Annual Accounts</t>
        </is>
      </c>
      <c r="D903" s="25" t="n"/>
      <c r="F903" s="150">
        <f>HYPERLINK("https://app.global.datasite.com/platform/container/696652ec0dc07cc02daa26a0/documents/content/index/69ca3c875bd753d43967dc3c","Annual Accounts")</f>
        <v/>
      </c>
      <c r="G903" s="149" t="inlineStr">
        <is>
          <t>FOLDER</t>
        </is>
      </c>
      <c r="H903" s="149" t="n"/>
      <c r="I903" s="149" t="inlineStr">
        <is>
          <t>DOWNLOAD</t>
        </is>
      </c>
      <c r="J903" s="149" t="n"/>
      <c r="K903" s="149" t="inlineStr">
        <is>
          <t>Unread</t>
        </is>
      </c>
      <c r="L903" s="152" t="n">
        <v>46176.92764111111</v>
      </c>
      <c r="M903" s="149" t="inlineStr">
        <is>
          <t>69ca3c875bd753d43967dc3c</t>
        </is>
      </c>
    </row>
    <row r="904" s="148">
      <c r="A904" t="inlineStr">
        <is>
          <t>Project Notos</t>
        </is>
      </c>
      <c r="B904" t="inlineStr">
        <is>
          <t>2.10.1.1.1</t>
        </is>
      </c>
      <c r="C904" s="15" t="inlineStr">
        <is>
          <t>ICTT_Financial Year End Statements 2022</t>
        </is>
      </c>
      <c r="D904" s="20" t="inlineStr">
        <is>
          <t>Out-of-Scope</t>
        </is>
      </c>
      <c r="F904" s="151">
        <f>HYPERLINK("https://app.global.datasite.com/webviewer/?projectId=696652ec0dc07cc02daa26a0&amp;documentId=69c55c58ce283fccb519e4c4","ICTT_Financial Year End Statements 2022")</f>
        <v/>
      </c>
      <c r="G904" t="inlineStr">
        <is>
          <t>DOCUMENT</t>
        </is>
      </c>
      <c r="H904" t="inlineStr">
        <is>
          <t>pdf</t>
        </is>
      </c>
      <c r="I904" t="inlineStr">
        <is>
          <t>DOWNLOAD</t>
        </is>
      </c>
      <c r="J904" t="n">
        <v>0.22926712</v>
      </c>
      <c r="K904" t="inlineStr">
        <is>
          <t>Unread</t>
        </is>
      </c>
      <c r="L904" s="153" t="n">
        <v>46176.92764111111</v>
      </c>
      <c r="M904" t="inlineStr">
        <is>
          <t>69c55c58ce283fccb519e4c4</t>
        </is>
      </c>
    </row>
    <row r="905" s="148">
      <c r="A905" t="inlineStr">
        <is>
          <t>Project Notos</t>
        </is>
      </c>
      <c r="B905" t="inlineStr">
        <is>
          <t>2.10.1.1.2</t>
        </is>
      </c>
      <c r="C905" s="15" t="inlineStr">
        <is>
          <t>ICTT_Financial Year End Statements 2023</t>
        </is>
      </c>
      <c r="D905" s="20" t="inlineStr">
        <is>
          <t>Out-of-Scope</t>
        </is>
      </c>
      <c r="F905" s="151">
        <f>HYPERLINK("https://app.global.datasite.com/webviewer/?projectId=696652ec0dc07cc02daa26a0&amp;documentId=69c55c58ce283fccb519e4c5","ICTT_Financial Year End Statements 2023")</f>
        <v/>
      </c>
      <c r="G905" t="inlineStr">
        <is>
          <t>DOCUMENT</t>
        </is>
      </c>
      <c r="H905" t="inlineStr">
        <is>
          <t>pdf</t>
        </is>
      </c>
      <c r="I905" t="inlineStr">
        <is>
          <t>DOWNLOAD</t>
        </is>
      </c>
      <c r="J905" t="n">
        <v>0.08080577</v>
      </c>
      <c r="K905" t="inlineStr">
        <is>
          <t>Unread</t>
        </is>
      </c>
      <c r="L905" s="153" t="n">
        <v>46176.92764111111</v>
      </c>
      <c r="M905" t="inlineStr">
        <is>
          <t>69c55c58ce283fccb519e4c5</t>
        </is>
      </c>
    </row>
    <row r="906" s="148">
      <c r="A906" t="inlineStr">
        <is>
          <t>Project Notos</t>
        </is>
      </c>
      <c r="B906" t="inlineStr">
        <is>
          <t>2.10.1.1.3</t>
        </is>
      </c>
      <c r="C906" s="15" t="inlineStr">
        <is>
          <t>Innerio Changsha - 2024 Audit Report</t>
        </is>
      </c>
      <c r="D906" s="20" t="inlineStr">
        <is>
          <t>Out-of-Scope</t>
        </is>
      </c>
      <c r="F906" s="151">
        <f>HYPERLINK("https://app.global.datasite.com/webviewer/?projectId=696652ec0dc07cc02daa26a0&amp;documentId=69ca26c217350af3e89e7857","Innerio Changsha - 2024 Audit Report")</f>
        <v/>
      </c>
      <c r="G906" t="inlineStr">
        <is>
          <t>DOCUMENT</t>
        </is>
      </c>
      <c r="H906" t="inlineStr">
        <is>
          <t>pdf</t>
        </is>
      </c>
      <c r="I906" t="inlineStr">
        <is>
          <t>DOWNLOAD</t>
        </is>
      </c>
      <c r="J906" t="n">
        <v>16.90338516</v>
      </c>
      <c r="K906" t="inlineStr">
        <is>
          <t>Unread</t>
        </is>
      </c>
      <c r="L906" s="153" t="n">
        <v>46176.92764111111</v>
      </c>
      <c r="M906" t="inlineStr">
        <is>
          <t>69ca26c217350af3e89e7857</t>
        </is>
      </c>
    </row>
    <row r="907" s="148">
      <c r="A907" t="inlineStr">
        <is>
          <t>Project Notos</t>
        </is>
      </c>
      <c r="B907" t="inlineStr">
        <is>
          <t>2.10.1.1.4</t>
        </is>
      </c>
      <c r="C907" s="15" t="inlineStr">
        <is>
          <t>Innerio Changsha - 2025 Audit Report</t>
        </is>
      </c>
      <c r="D907" s="20" t="inlineStr">
        <is>
          <t>Out-of-Scope</t>
        </is>
      </c>
      <c r="F907" s="151">
        <f>HYPERLINK("https://app.global.datasite.com/webviewer/?projectId=696652ec0dc07cc02daa26a0&amp;documentId=69ca26a617350af3e89e7850","Innerio Changsha - 2025 Audit Report")</f>
        <v/>
      </c>
      <c r="G907" t="inlineStr">
        <is>
          <t>DOCUMENT</t>
        </is>
      </c>
      <c r="H907" t="inlineStr">
        <is>
          <t>pdf</t>
        </is>
      </c>
      <c r="I907" t="inlineStr">
        <is>
          <t>DOWNLOAD</t>
        </is>
      </c>
      <c r="J907" t="n">
        <v>23.58888435</v>
      </c>
      <c r="K907" t="inlineStr">
        <is>
          <t>Unread</t>
        </is>
      </c>
      <c r="L907" s="153" t="n">
        <v>46176.92764111111</v>
      </c>
      <c r="M907" t="inlineStr">
        <is>
          <t>69ca26a617350af3e89e7850</t>
        </is>
      </c>
    </row>
    <row r="908">
      <c r="A908" s="149" t="inlineStr">
        <is>
          <t>Project Notos</t>
        </is>
      </c>
      <c r="B908" s="149" t="inlineStr">
        <is>
          <t>2.11</t>
        </is>
      </c>
      <c r="C908" s="17" t="inlineStr">
        <is>
          <t>Innerio Group</t>
        </is>
      </c>
      <c r="D908" s="25" t="n"/>
      <c r="F908" s="150">
        <f>HYPERLINK("https://app.global.datasite.com/platform/container/696652ec0dc07cc02daa26a0/documents/content/index/69c68368ee10c0ac4a7edc03","Innerio Group")</f>
        <v/>
      </c>
      <c r="G908" s="149" t="inlineStr">
        <is>
          <t>FOLDER</t>
        </is>
      </c>
      <c r="H908" s="149" t="n"/>
      <c r="I908" s="149" t="inlineStr">
        <is>
          <t>DOWNLOAD</t>
        </is>
      </c>
      <c r="J908" s="149" t="n"/>
      <c r="K908" s="149" t="inlineStr">
        <is>
          <t>Unread</t>
        </is>
      </c>
      <c r="L908" s="152" t="n">
        <v>46176.92764111111</v>
      </c>
      <c r="M908" s="149" t="inlineStr">
        <is>
          <t>69c68368ee10c0ac4a7edc03</t>
        </is>
      </c>
    </row>
    <row r="909">
      <c r="A909" s="149" t="inlineStr">
        <is>
          <t>Project Notos</t>
        </is>
      </c>
      <c r="B909" s="149" t="inlineStr">
        <is>
          <t>2.11.1</t>
        </is>
      </c>
      <c r="C909" s="17" t="inlineStr">
        <is>
          <t>Annual Accounts</t>
        </is>
      </c>
      <c r="D909" s="25" t="n"/>
      <c r="F909" s="150">
        <f>HYPERLINK("https://app.global.datasite.com/platform/container/696652ec0dc07cc02daa26a0/documents/content/index/69c6837dc5c018b6482a176c","Annual Accounts")</f>
        <v/>
      </c>
      <c r="G909" s="149" t="inlineStr">
        <is>
          <t>FOLDER</t>
        </is>
      </c>
      <c r="H909" s="149" t="n"/>
      <c r="I909" s="149" t="inlineStr">
        <is>
          <t>DOWNLOAD</t>
        </is>
      </c>
      <c r="J909" s="149" t="n"/>
      <c r="K909" s="149" t="inlineStr">
        <is>
          <t>Unread</t>
        </is>
      </c>
      <c r="L909" s="152" t="n">
        <v>46176.92764111111</v>
      </c>
      <c r="M909" s="149" t="inlineStr">
        <is>
          <t>69c6837dc5c018b6482a176c</t>
        </is>
      </c>
    </row>
    <row r="910">
      <c r="A910" t="inlineStr">
        <is>
          <t>Project Notos</t>
        </is>
      </c>
      <c r="B910" t="inlineStr">
        <is>
          <t>2.11.1.1</t>
        </is>
      </c>
      <c r="C910" s="15" t="inlineStr">
        <is>
          <t>IG_Annual Accounts 2024_group</t>
        </is>
      </c>
      <c r="D910" s="20" t="inlineStr">
        <is>
          <t>Out-of-Scope</t>
        </is>
      </c>
      <c r="F910" s="151">
        <f>HYPERLINK("https://app.global.datasite.com/webviewer/?projectId=696652ec0dc07cc02daa26a0&amp;documentId=69c53a0bf1bc84f53ce883be","IG_Annual Accounts 2024_group")</f>
        <v/>
      </c>
      <c r="G910" t="inlineStr">
        <is>
          <t>DOCUMENT</t>
        </is>
      </c>
      <c r="H910" t="inlineStr">
        <is>
          <t>pdf</t>
        </is>
      </c>
      <c r="I910" t="inlineStr">
        <is>
          <t>DOWNLOAD</t>
        </is>
      </c>
      <c r="J910" t="n">
        <v>1.1502304</v>
      </c>
      <c r="K910" t="inlineStr">
        <is>
          <t>Unread</t>
        </is>
      </c>
      <c r="L910" s="153" t="n">
        <v>46176.92764111111</v>
      </c>
      <c r="M910" t="inlineStr">
        <is>
          <t>69c53a0bf1bc84f53ce883be</t>
        </is>
      </c>
    </row>
    <row r="911">
      <c r="A911" t="inlineStr">
        <is>
          <t>Project Notos</t>
        </is>
      </c>
      <c r="B911" t="inlineStr">
        <is>
          <t>2.11.1.2</t>
        </is>
      </c>
      <c r="C911" s="15" t="inlineStr">
        <is>
          <t>IG_Annual Accounts 2023_group</t>
        </is>
      </c>
      <c r="D911" s="20" t="inlineStr">
        <is>
          <t>Out-of-Scope</t>
        </is>
      </c>
      <c r="F911" s="151">
        <f>HYPERLINK("https://app.global.datasite.com/webviewer/?projectId=696652ec0dc07cc02daa26a0&amp;documentId=69c53e3aee10c0ac4a7e254b","IG_Annual Accounts 2023_group")</f>
        <v/>
      </c>
      <c r="G911" t="inlineStr">
        <is>
          <t>DOCUMENT</t>
        </is>
      </c>
      <c r="H911" t="inlineStr">
        <is>
          <t>pdf</t>
        </is>
      </c>
      <c r="I911" t="inlineStr">
        <is>
          <t>DOWNLOAD</t>
        </is>
      </c>
      <c r="J911" t="n">
        <v>1.37024497</v>
      </c>
      <c r="K911" t="inlineStr">
        <is>
          <t>Unread</t>
        </is>
      </c>
      <c r="L911" s="153" t="n">
        <v>46176.92764111111</v>
      </c>
      <c r="M911" t="inlineStr">
        <is>
          <t>69c53e3aee10c0ac4a7e254b</t>
        </is>
      </c>
    </row>
    <row r="912">
      <c r="A912" t="inlineStr">
        <is>
          <t>Project Notos</t>
        </is>
      </c>
      <c r="B912" t="inlineStr">
        <is>
          <t>2.11.1.3</t>
        </is>
      </c>
      <c r="C912" s="15" t="inlineStr">
        <is>
          <t>IG_Annual Accounts 2022_group</t>
        </is>
      </c>
      <c r="D912" s="20" t="inlineStr">
        <is>
          <t>Out-of-Scope</t>
        </is>
      </c>
      <c r="F912" s="151">
        <f>HYPERLINK("https://app.global.datasite.com/webviewer/?projectId=696652ec0dc07cc02daa26a0&amp;documentId=69e790faec8622a8443ed54c","IG_Annual Accounts 2022_group")</f>
        <v/>
      </c>
      <c r="G912" t="inlineStr">
        <is>
          <t>DOCUMENT</t>
        </is>
      </c>
      <c r="H912" t="inlineStr">
        <is>
          <t>pdf</t>
        </is>
      </c>
      <c r="I912" t="inlineStr">
        <is>
          <t>DOWNLOAD</t>
        </is>
      </c>
      <c r="J912" t="n">
        <v>1.42278385</v>
      </c>
      <c r="K912" t="inlineStr">
        <is>
          <t>Unread</t>
        </is>
      </c>
      <c r="L912" s="153" t="n">
        <v>46176.92764111111</v>
      </c>
      <c r="M912" t="inlineStr">
        <is>
          <t>69e790faec8622a8443ed54c</t>
        </is>
      </c>
    </row>
    <row r="913">
      <c r="A913" s="149" t="inlineStr">
        <is>
          <t>Project Notos</t>
        </is>
      </c>
      <c r="B913" s="149" t="inlineStr">
        <is>
          <t>2.11.2</t>
        </is>
      </c>
      <c r="C913" s="17" t="inlineStr">
        <is>
          <t>Off-balance Liabilities</t>
        </is>
      </c>
      <c r="D913" s="25" t="n"/>
      <c r="F913" s="150">
        <f>HYPERLINK("https://app.global.datasite.com/platform/container/696652ec0dc07cc02daa26a0/documents/content/index/69ca83c8adc66d4b479b18fe","Off-balance Liabilities")</f>
        <v/>
      </c>
      <c r="G913" s="149" t="inlineStr">
        <is>
          <t>FOLDER</t>
        </is>
      </c>
      <c r="H913" s="149" t="n"/>
      <c r="I913" s="149" t="inlineStr">
        <is>
          <t>DOWNLOAD</t>
        </is>
      </c>
      <c r="J913" s="149" t="n"/>
      <c r="K913" s="149" t="inlineStr">
        <is>
          <t>Unread</t>
        </is>
      </c>
      <c r="L913" s="152" t="n">
        <v>46176.92764111111</v>
      </c>
      <c r="M913" s="149" t="inlineStr">
        <is>
          <t>69ca83c8adc66d4b479b18fe</t>
        </is>
      </c>
    </row>
    <row r="914">
      <c r="A914" t="inlineStr">
        <is>
          <t>Project Notos</t>
        </is>
      </c>
      <c r="B914" t="inlineStr">
        <is>
          <t>2.11.2.1</t>
        </is>
      </c>
      <c r="C914" s="15" t="inlineStr">
        <is>
          <t>Innerio Group_Off Balance Liabilities</t>
        </is>
      </c>
      <c r="D914" s="20" t="inlineStr">
        <is>
          <t>Out-of-Scope</t>
        </is>
      </c>
      <c r="F914" s="151">
        <f>HYPERLINK("https://app.global.datasite.com/webviewer/?projectId=696652ec0dc07cc02daa26a0&amp;documentId=69ca84528014561b861948c0","Innerio Group_Off Balance Liabilities")</f>
        <v/>
      </c>
      <c r="G914" t="inlineStr">
        <is>
          <t>DOCUMENT</t>
        </is>
      </c>
      <c r="H914" t="inlineStr">
        <is>
          <t>pdf</t>
        </is>
      </c>
      <c r="I914" t="inlineStr">
        <is>
          <t>DOWNLOAD</t>
        </is>
      </c>
      <c r="J914" t="n">
        <v>0.01626586</v>
      </c>
      <c r="K914" t="inlineStr">
        <is>
          <t>Unread</t>
        </is>
      </c>
      <c r="L914" s="153" t="n">
        <v>46176.92764111111</v>
      </c>
      <c r="M914" t="inlineStr">
        <is>
          <t>69ca84528014561b861948c0</t>
        </is>
      </c>
    </row>
    <row r="915">
      <c r="A915" s="149" t="inlineStr">
        <is>
          <t>Project Notos</t>
        </is>
      </c>
      <c r="B915" s="149" t="inlineStr">
        <is>
          <t>2.11.3</t>
        </is>
      </c>
      <c r="C915" s="17" t="inlineStr">
        <is>
          <t>Current Trading</t>
        </is>
      </c>
      <c r="D915" s="25" t="n"/>
      <c r="F915" s="150">
        <f>HYPERLINK("https://app.global.datasite.com/platform/container/696652ec0dc07cc02daa26a0/documents/content/index/6a104b7dd88a4c202ef843a9","Current Trading")</f>
        <v/>
      </c>
      <c r="G915" s="149" t="inlineStr">
        <is>
          <t>FOLDER</t>
        </is>
      </c>
      <c r="H915" s="149" t="n"/>
      <c r="I915" s="149" t="inlineStr">
        <is>
          <t>DOWNLOAD</t>
        </is>
      </c>
      <c r="J915" s="149" t="n"/>
      <c r="K915" s="149" t="inlineStr">
        <is>
          <t>Unread</t>
        </is>
      </c>
      <c r="L915" s="152" t="n">
        <v>46176.92764111111</v>
      </c>
      <c r="M915" s="149" t="inlineStr">
        <is>
          <t>6a104b7dd88a4c202ef843a9</t>
        </is>
      </c>
    </row>
    <row r="916">
      <c r="A916" t="inlineStr">
        <is>
          <t>Project Notos</t>
        </is>
      </c>
      <c r="B916" t="inlineStr">
        <is>
          <t>2.11.3.1</t>
        </is>
      </c>
      <c r="C916" s="15" t="inlineStr">
        <is>
          <t>Current Trading April 2026</t>
        </is>
      </c>
      <c r="D916" s="20" t="inlineStr">
        <is>
          <t>Out-of-Scope</t>
        </is>
      </c>
      <c r="F916" s="151">
        <f>HYPERLINK("https://app.global.datasite.com/webviewer/?projectId=696652ec0dc07cc02daa26a0&amp;documentId=6a107cf412d082cc9c1c6193","Current Trading April 2026")</f>
        <v/>
      </c>
      <c r="G916" t="inlineStr">
        <is>
          <t>DOCUMENT</t>
        </is>
      </c>
      <c r="H916" t="inlineStr">
        <is>
          <t>xlsx</t>
        </is>
      </c>
      <c r="I916" t="inlineStr">
        <is>
          <t>DOWNLOAD</t>
        </is>
      </c>
      <c r="J916" t="n">
        <v>0.34219169</v>
      </c>
      <c r="K916" t="inlineStr">
        <is>
          <t>Unread</t>
        </is>
      </c>
      <c r="L916" s="153" t="n">
        <v>46176.92764111111</v>
      </c>
      <c r="M916" t="inlineStr">
        <is>
          <t>6a107cf412d082cc9c1c6193</t>
        </is>
      </c>
    </row>
    <row r="917">
      <c r="A917" t="inlineStr">
        <is>
          <t>Project Notos</t>
        </is>
      </c>
      <c r="B917" t="inlineStr">
        <is>
          <t>2.11.3.2</t>
        </is>
      </c>
      <c r="C917" t="inlineStr">
        <is>
          <t>YTD BS  April 2026</t>
        </is>
      </c>
      <c r="D917" s="20" t="inlineStr">
        <is>
          <t>Out-of-Scope</t>
        </is>
      </c>
      <c r="E917" s="35" t="n"/>
      <c r="F917" s="151" t="n">
        <v>0</v>
      </c>
      <c r="G917" t="inlineStr">
        <is>
          <t>DOCUMENT</t>
        </is>
      </c>
      <c r="H917" t="inlineStr">
        <is>
          <t>xlsm</t>
        </is>
      </c>
      <c r="I917" t="inlineStr">
        <is>
          <t>DOWNLOAD</t>
        </is>
      </c>
      <c r="J917" t="n">
        <v>0.3064146</v>
      </c>
      <c r="K917" t="inlineStr">
        <is>
          <t>Unread</t>
        </is>
      </c>
      <c r="L917" s="153" t="n">
        <v>46192.67488716435</v>
      </c>
      <c r="M917" t="inlineStr">
        <is>
          <t>6a2a7127f71048c046810413</t>
        </is>
      </c>
    </row>
    <row r="918" s="148">
      <c r="A918" s="149" t="inlineStr">
        <is>
          <t>Project Notos</t>
        </is>
      </c>
      <c r="B918" s="149" t="inlineStr">
        <is>
          <t>2.11.4</t>
        </is>
      </c>
      <c r="C918" s="17" t="inlineStr">
        <is>
          <t>Rolling Forecast</t>
        </is>
      </c>
      <c r="D918" s="25" t="n"/>
      <c r="F918" s="150">
        <f>HYPERLINK("https://app.global.datasite.com/platform/container/696652ec0dc07cc02daa26a0/documents/content/index/6a104bed81feb92f663b75a2","Rolling Forecast")</f>
        <v/>
      </c>
      <c r="G918" s="149" t="inlineStr">
        <is>
          <t>FOLDER</t>
        </is>
      </c>
      <c r="H918" s="149" t="n"/>
      <c r="I918" s="149" t="inlineStr">
        <is>
          <t>DOWNLOAD</t>
        </is>
      </c>
      <c r="J918" s="149" t="n"/>
      <c r="K918" s="149" t="inlineStr">
        <is>
          <t>Unread</t>
        </is>
      </c>
      <c r="L918" s="152" t="n">
        <v>46176.92764111111</v>
      </c>
      <c r="M918" s="149" t="inlineStr">
        <is>
          <t>6a104bed81feb92f663b75a2</t>
        </is>
      </c>
    </row>
    <row r="919">
      <c r="A919" t="inlineStr">
        <is>
          <t>Project Notos</t>
        </is>
      </c>
      <c r="B919" t="inlineStr">
        <is>
          <t>2.11.4.1</t>
        </is>
      </c>
      <c r="C919" s="15" t="inlineStr">
        <is>
          <t>Rolling Forecast April 2026</t>
        </is>
      </c>
      <c r="D919" s="20" t="inlineStr">
        <is>
          <t>Out-of-Scope</t>
        </is>
      </c>
      <c r="F919" s="151">
        <f>HYPERLINK("https://app.global.datasite.com/webviewer/?projectId=696652ec0dc07cc02daa26a0&amp;documentId=6a104bfbd16bf56f9066a367","Rolling Forecast April 2026")</f>
        <v/>
      </c>
      <c r="G919" t="inlineStr">
        <is>
          <t>DOCUMENT</t>
        </is>
      </c>
      <c r="H919" t="inlineStr">
        <is>
          <t>xlsx</t>
        </is>
      </c>
      <c r="I919" t="inlineStr">
        <is>
          <t>DOWNLOAD</t>
        </is>
      </c>
      <c r="J919" t="n">
        <v>0.48389816</v>
      </c>
      <c r="K919" t="inlineStr">
        <is>
          <t>Unread</t>
        </is>
      </c>
      <c r="L919" s="153" t="n">
        <v>46176.92764111111</v>
      </c>
      <c r="M919" t="inlineStr">
        <is>
          <t>6a104bfbd16bf56f9066a367</t>
        </is>
      </c>
    </row>
    <row r="920">
      <c r="A920" s="149" t="inlineStr">
        <is>
          <t>Project Notos</t>
        </is>
      </c>
      <c r="B920" s="149" t="inlineStr">
        <is>
          <t>2.11.5</t>
        </is>
      </c>
      <c r="C920" s="17" t="inlineStr">
        <is>
          <t>Shareholder Loans</t>
        </is>
      </c>
      <c r="D920" s="25" t="n"/>
      <c r="F920" s="150">
        <f>HYPERLINK("https://app.global.datasite.com/platform/container/696652ec0dc07cc02daa26a0/documents/content/index/6a1ec1fd1173c7f7a3ca2e1a","Shareholder Loans")</f>
        <v/>
      </c>
      <c r="G920" s="149" t="inlineStr">
        <is>
          <t>FOLDER</t>
        </is>
      </c>
      <c r="H920" s="149" t="n"/>
      <c r="I920" s="149" t="inlineStr">
        <is>
          <t>DOWNLOAD</t>
        </is>
      </c>
      <c r="J920" s="149" t="n"/>
      <c r="K920" s="149" t="inlineStr">
        <is>
          <t>Unread</t>
        </is>
      </c>
      <c r="L920" s="152" t="n">
        <v>46176.92764111111</v>
      </c>
      <c r="M920" s="149" t="inlineStr">
        <is>
          <t>6a1ec1fd1173c7f7a3ca2e1a</t>
        </is>
      </c>
    </row>
    <row r="921">
      <c r="A921" t="inlineStr">
        <is>
          <t>Project Notos</t>
        </is>
      </c>
      <c r="B921" t="inlineStr">
        <is>
          <t>2.11.5.1</t>
        </is>
      </c>
      <c r="C921" s="15" t="inlineStr">
        <is>
          <t>Overview Shareholder loans</t>
        </is>
      </c>
      <c r="D921" s="20" t="inlineStr">
        <is>
          <t>Out-of-Scope</t>
        </is>
      </c>
      <c r="F921" s="151">
        <f>HYPERLINK("https://app.global.datasite.com/webviewer/?projectId=696652ec0dc07cc02daa26a0&amp;documentId=6a1ec9b05e05b660ca6dd88c","Overview Shareholder loans")</f>
        <v/>
      </c>
      <c r="G921" t="inlineStr">
        <is>
          <t>DOCUMENT</t>
        </is>
      </c>
      <c r="H921" t="inlineStr">
        <is>
          <t>xlsx</t>
        </is>
      </c>
      <c r="I921" t="inlineStr">
        <is>
          <t>DOWNLOAD</t>
        </is>
      </c>
      <c r="J921" t="n">
        <v>0.01854133</v>
      </c>
      <c r="K921" t="inlineStr">
        <is>
          <t>Unread</t>
        </is>
      </c>
      <c r="L921" s="153" t="n">
        <v>46176.92764111111</v>
      </c>
      <c r="M921" t="inlineStr">
        <is>
          <t>6a1ec9b05e05b660ca6dd88c</t>
        </is>
      </c>
    </row>
    <row r="922" s="148">
      <c r="A922" t="inlineStr">
        <is>
          <t>Project Notos</t>
        </is>
      </c>
      <c r="B922" t="inlineStr">
        <is>
          <t>2.11.5.2</t>
        </is>
      </c>
      <c r="C922" s="15" t="inlineStr">
        <is>
          <t>Note Shareholder Loans</t>
        </is>
      </c>
      <c r="D922" s="20" t="inlineStr">
        <is>
          <t>Out-of-Scope</t>
        </is>
      </c>
      <c r="F922" s="151">
        <f>HYPERLINK("https://app.global.datasite.com/webviewer/?projectId=696652ec0dc07cc02daa26a0&amp;documentId=6a1eca8a00a146abdeb2af2a","Note Shareholder Loans")</f>
        <v/>
      </c>
      <c r="G922" t="inlineStr">
        <is>
          <t>DOCUMENT</t>
        </is>
      </c>
      <c r="H922" t="inlineStr">
        <is>
          <t>txt</t>
        </is>
      </c>
      <c r="I922" t="inlineStr">
        <is>
          <t>DOWNLOAD</t>
        </is>
      </c>
      <c r="J922" t="n">
        <v>8.678000000000001e-05</v>
      </c>
      <c r="K922" t="inlineStr">
        <is>
          <t>Unread</t>
        </is>
      </c>
      <c r="L922" s="153" t="n">
        <v>46176.92764111111</v>
      </c>
      <c r="M922" t="inlineStr">
        <is>
          <t>6a1eca8a00a146abdeb2af2a</t>
        </is>
      </c>
    </row>
    <row r="923">
      <c r="A923" s="149" t="inlineStr">
        <is>
          <t>Project Notos</t>
        </is>
      </c>
      <c r="B923" s="149" t="inlineStr">
        <is>
          <t>2.11.6</t>
        </is>
      </c>
      <c r="C923" s="17" t="inlineStr">
        <is>
          <t>Inventory</t>
        </is>
      </c>
      <c r="D923" s="25" t="n"/>
      <c r="F923" s="150">
        <f>HYPERLINK("https://app.global.datasite.com/platform/container/696652ec0dc07cc02daa26a0/documents/content/index/6a1eb0e4ece0f7142bedcec6","Inventory")</f>
        <v/>
      </c>
      <c r="G923" s="149" t="inlineStr">
        <is>
          <t>FOLDER</t>
        </is>
      </c>
      <c r="H923" s="149" t="n"/>
      <c r="I923" s="149" t="inlineStr">
        <is>
          <t>DOWNLOAD</t>
        </is>
      </c>
      <c r="J923" s="149" t="n"/>
      <c r="K923" s="149" t="inlineStr">
        <is>
          <t>Unread</t>
        </is>
      </c>
      <c r="L923" s="152" t="n">
        <v>46176.92764111111</v>
      </c>
      <c r="M923" s="149" t="inlineStr">
        <is>
          <t>6a1eb0e4ece0f7142bedcec6</t>
        </is>
      </c>
    </row>
    <row r="924">
      <c r="A924" t="inlineStr">
        <is>
          <t>Project Notos</t>
        </is>
      </c>
      <c r="B924" t="inlineStr">
        <is>
          <t>2.11.6.1</t>
        </is>
      </c>
      <c r="C924" s="15" t="inlineStr">
        <is>
          <t>Slow movers and obsolete stock accruals 04_2026</t>
        </is>
      </c>
      <c r="D924" s="20" t="inlineStr">
        <is>
          <t>Out-of-Scope</t>
        </is>
      </c>
      <c r="F924" s="151">
        <f>HYPERLINK("https://app.global.datasite.com/webviewer/?projectId=696652ec0dc07cc02daa26a0&amp;documentId=6a1eb0f018580c78c2926f87","Slow movers and obsolete stock accruals 04_2026")</f>
        <v/>
      </c>
      <c r="G924" t="inlineStr">
        <is>
          <t>DOCUMENT</t>
        </is>
      </c>
      <c r="H924" t="inlineStr">
        <is>
          <t>xlsm</t>
        </is>
      </c>
      <c r="I924" t="inlineStr">
        <is>
          <t>DOWNLOAD</t>
        </is>
      </c>
      <c r="J924" t="n">
        <v>0.00985813</v>
      </c>
      <c r="K924" t="inlineStr">
        <is>
          <t>Unread</t>
        </is>
      </c>
      <c r="L924" s="153" t="n">
        <v>46176.92764111111</v>
      </c>
      <c r="M924" t="inlineStr">
        <is>
          <t>6a1eb0f018580c78c2926f87</t>
        </is>
      </c>
    </row>
    <row r="925">
      <c r="A925" t="inlineStr">
        <is>
          <t>Project Notos</t>
        </is>
      </c>
      <c r="B925" t="inlineStr">
        <is>
          <t>2.11.6.2</t>
        </is>
      </c>
      <c r="C925" t="inlineStr">
        <is>
          <t>IG_Breakdown Inventory_31.12.2025</t>
        </is>
      </c>
      <c r="D925" s="20" t="inlineStr">
        <is>
          <t>Out-of-Scope</t>
        </is>
      </c>
      <c r="E925" s="35" t="n"/>
      <c r="F925" s="151" t="n">
        <v>0</v>
      </c>
      <c r="G925" t="inlineStr">
        <is>
          <t>DOCUMENT</t>
        </is>
      </c>
      <c r="H925" t="inlineStr">
        <is>
          <t>xlsx</t>
        </is>
      </c>
      <c r="I925" t="inlineStr">
        <is>
          <t>DOWNLOAD</t>
        </is>
      </c>
      <c r="J925" t="n">
        <v>0.68203163</v>
      </c>
      <c r="K925" t="inlineStr">
        <is>
          <t>Unread</t>
        </is>
      </c>
      <c r="L925" s="153" t="n">
        <v>46190.82157530093</v>
      </c>
      <c r="M925" t="inlineStr">
        <is>
          <t>6a32dc17665dd2023c6f4f2b</t>
        </is>
      </c>
    </row>
    <row r="926">
      <c r="A926" s="149" t="inlineStr">
        <is>
          <t>Project Notos</t>
        </is>
      </c>
      <c r="B926" s="149" t="inlineStr">
        <is>
          <t>2.11.7</t>
        </is>
      </c>
      <c r="C926" s="149" t="inlineStr">
        <is>
          <t>Sales Pipeline / Business Plan</t>
        </is>
      </c>
      <c r="D926" s="149" t="n"/>
      <c r="E926" s="35" t="n"/>
      <c r="F926" s="150" t="n">
        <v>0</v>
      </c>
      <c r="G926" s="149" t="inlineStr">
        <is>
          <t>FOLDER</t>
        </is>
      </c>
      <c r="H926" s="149" t="n"/>
      <c r="I926" s="149" t="inlineStr">
        <is>
          <t>DOWNLOAD</t>
        </is>
      </c>
      <c r="J926" s="149" t="n"/>
      <c r="K926" s="149" t="inlineStr">
        <is>
          <t>Unread</t>
        </is>
      </c>
      <c r="L926" s="152" t="n">
        <v>46182.81978159722</v>
      </c>
      <c r="M926" s="149" t="inlineStr">
        <is>
          <t>6a27b194b2ad49f5e8f985d1</t>
        </is>
      </c>
    </row>
    <row r="927">
      <c r="A927" t="inlineStr">
        <is>
          <t>Project Notos</t>
        </is>
      </c>
      <c r="B927" t="inlineStr">
        <is>
          <t>2.11.7.1</t>
        </is>
      </c>
      <c r="C927" t="inlineStr">
        <is>
          <t>Innerio Group_Sales Pipeline_BP_260608</t>
        </is>
      </c>
      <c r="D927" s="20" t="n"/>
      <c r="E927" s="35" t="n"/>
      <c r="F927" s="151" t="n">
        <v>0</v>
      </c>
      <c r="G927" t="inlineStr">
        <is>
          <t>DOCUMENT</t>
        </is>
      </c>
      <c r="H927" t="inlineStr">
        <is>
          <t>xlsx</t>
        </is>
      </c>
      <c r="I927" t="inlineStr">
        <is>
          <t>DOWNLOAD</t>
        </is>
      </c>
      <c r="J927" t="n">
        <v>0.33837985</v>
      </c>
      <c r="K927" t="inlineStr">
        <is>
          <t>Unread</t>
        </is>
      </c>
      <c r="L927" s="153" t="n">
        <v>46182.81978122686</v>
      </c>
      <c r="M927" t="inlineStr">
        <is>
          <t>6a284e95ad571448900e3018</t>
        </is>
      </c>
    </row>
    <row r="928">
      <c r="A928" s="154" t="inlineStr">
        <is>
          <t>Project Notos</t>
        </is>
      </c>
      <c r="B928" s="154" t="inlineStr">
        <is>
          <t>2.11.7.2</t>
        </is>
      </c>
      <c r="C928" s="155" t="inlineStr">
        <is>
          <t>Innerio Group_Sales Pipeline_BP_260622</t>
        </is>
      </c>
      <c r="D928" s="156" t="n"/>
      <c r="E928" s="156" t="n"/>
      <c r="F928" s="157">
        <f>HYPERLINK("https://app.global.datasite.com/webviewer/?projectId=696652ec0dc07cc02daa26a0&amp;documentId=6a3ab0d3f34b5ecd55a46d96","Innerio Group_Sales Pipeline_BP_260622")</f>
        <v/>
      </c>
      <c r="G928" s="154" t="inlineStr">
        <is>
          <t>DOCUMENT</t>
        </is>
      </c>
      <c r="H928" s="154" t="inlineStr">
        <is>
          <t>xlsx</t>
        </is>
      </c>
      <c r="I928" s="154" t="inlineStr">
        <is>
          <t>DOWNLOAD</t>
        </is>
      </c>
      <c r="J928" s="154" t="n">
        <v>1.96933078</v>
      </c>
      <c r="K928" s="154" t="inlineStr">
        <is>
          <t>Unread</t>
        </is>
      </c>
      <c r="L928" s="158" t="n">
        <v>46196.76068305555</v>
      </c>
      <c r="M928" s="154" t="inlineStr">
        <is>
          <t>6a3ab0d3f34b5ecd55a46d96</t>
        </is>
      </c>
    </row>
    <row r="929">
      <c r="A929" s="149" t="inlineStr">
        <is>
          <t>Project Notos</t>
        </is>
      </c>
      <c r="B929" s="149" t="inlineStr">
        <is>
          <t>2.11.8</t>
        </is>
      </c>
      <c r="C929" s="149" t="inlineStr">
        <is>
          <t>Finance Organisation</t>
        </is>
      </c>
      <c r="D929" s="149" t="n"/>
      <c r="F929" s="150" t="n">
        <v>0</v>
      </c>
      <c r="G929" s="149" t="inlineStr">
        <is>
          <t>FOLDER</t>
        </is>
      </c>
      <c r="H929" s="149" t="n"/>
      <c r="I929" s="149" t="inlineStr">
        <is>
          <t>DOWNLOAD</t>
        </is>
      </c>
      <c r="J929" s="149" t="n"/>
      <c r="K929" s="149" t="inlineStr">
        <is>
          <t>Unread</t>
        </is>
      </c>
      <c r="L929" s="152" t="n">
        <v>46190.81720248843</v>
      </c>
      <c r="M929" s="149" t="inlineStr">
        <is>
          <t>6a32cb3ca5909868ffebe70d</t>
        </is>
      </c>
    </row>
    <row r="930">
      <c r="A930" t="inlineStr">
        <is>
          <t>Project Notos</t>
        </is>
      </c>
      <c r="B930" t="inlineStr">
        <is>
          <t>2.11.8.1</t>
        </is>
      </c>
      <c r="C930" t="inlineStr">
        <is>
          <t>Finance Org Chart_Reporting Activities</t>
        </is>
      </c>
      <c r="D930" s="20" t="n"/>
      <c r="F930" s="151" t="n">
        <v>0</v>
      </c>
      <c r="G930" t="inlineStr">
        <is>
          <t>DOCUMENT</t>
        </is>
      </c>
      <c r="H930" t="inlineStr">
        <is>
          <t>xlsx</t>
        </is>
      </c>
      <c r="I930" t="inlineStr">
        <is>
          <t>DOWNLOAD</t>
        </is>
      </c>
      <c r="J930" t="n">
        <v>0.50741577</v>
      </c>
      <c r="K930" t="inlineStr">
        <is>
          <t>Unread</t>
        </is>
      </c>
      <c r="L930" s="153" t="n">
        <v>46190.81720208333</v>
      </c>
      <c r="M930" t="inlineStr">
        <is>
          <t>6a32cb5589742daf4ff0cb99</t>
        </is>
      </c>
    </row>
    <row r="931">
      <c r="A931" s="154" t="inlineStr">
        <is>
          <t>Project Notos</t>
        </is>
      </c>
      <c r="B931" s="154" t="inlineStr">
        <is>
          <t>2.11.9</t>
        </is>
      </c>
      <c r="C931" s="155" t="inlineStr">
        <is>
          <t>Costs</t>
        </is>
      </c>
      <c r="D931" s="156" t="n"/>
      <c r="E931" s="156" t="n"/>
      <c r="F931" s="157">
        <f>HYPERLINK("https://app.global.datasite.com/platform/container/696652ec0dc07cc02daa26a0/documents/content/index/6a465773141dcd6e002bdcec","Costs")</f>
        <v/>
      </c>
      <c r="G931" s="154" t="inlineStr">
        <is>
          <t>FOLDER</t>
        </is>
      </c>
      <c r="H931" s="154" t="n"/>
      <c r="I931" s="154" t="inlineStr">
        <is>
          <t>DOWNLOAD</t>
        </is>
      </c>
      <c r="J931" s="154" t="n"/>
      <c r="K931" s="154" t="inlineStr">
        <is>
          <t>Unread</t>
        </is>
      </c>
      <c r="L931" s="158" t="n">
        <v>46205.5983890162</v>
      </c>
      <c r="M931" s="154" t="inlineStr">
        <is>
          <t>6a465773141dcd6e002bdcec</t>
        </is>
      </c>
    </row>
    <row r="932">
      <c r="A932" s="154" t="inlineStr">
        <is>
          <t>Project Notos</t>
        </is>
      </c>
      <c r="B932" s="154" t="inlineStr">
        <is>
          <t>2.11.9.1</t>
        </is>
      </c>
      <c r="C932" s="155" t="inlineStr">
        <is>
          <t>Innerio Group_Cost break down (2023-2025)</t>
        </is>
      </c>
      <c r="D932" s="156" t="n"/>
      <c r="E932" s="156" t="n"/>
      <c r="F932" s="157">
        <f>HYPERLINK("https://app.global.datasite.com/webviewer/?projectId=696652ec0dc07cc02daa26a0&amp;documentId=6a465795141dcd6e002bdcf7","Innerio Group_Cost break down (2023-2025)")</f>
        <v/>
      </c>
      <c r="G932" s="154" t="inlineStr">
        <is>
          <t>DOCUMENT</t>
        </is>
      </c>
      <c r="H932" s="154" t="inlineStr">
        <is>
          <t>xlsm</t>
        </is>
      </c>
      <c r="I932" s="154" t="inlineStr">
        <is>
          <t>DOWNLOAD</t>
        </is>
      </c>
      <c r="J932" s="154" t="n">
        <v>0.38127231</v>
      </c>
      <c r="K932" s="154" t="inlineStr">
        <is>
          <t>Unread</t>
        </is>
      </c>
      <c r="L932" s="158" t="n">
        <v>46205.59838858796</v>
      </c>
      <c r="M932" s="154" t="inlineStr">
        <is>
          <t>6a465795141dcd6e002bdcf7</t>
        </is>
      </c>
    </row>
    <row r="933">
      <c r="A933" s="149" t="inlineStr">
        <is>
          <t>Project Notos</t>
        </is>
      </c>
      <c r="B933" s="149" t="inlineStr">
        <is>
          <t>3</t>
        </is>
      </c>
      <c r="C933" s="17" t="inlineStr">
        <is>
          <t>Tax</t>
        </is>
      </c>
      <c r="D933" s="25" t="n"/>
      <c r="F933" s="150">
        <f>HYPERLINK("https://app.global.datasite.com/platform/container/696652ec0dc07cc02daa26a0/documents/content/index/698cb7348a98cfb9f910d6d3","Tax")</f>
        <v/>
      </c>
      <c r="G933" s="149" t="inlineStr">
        <is>
          <t>FOLDER</t>
        </is>
      </c>
      <c r="H933" s="149" t="n"/>
      <c r="I933" s="149" t="inlineStr">
        <is>
          <t>DOWNLOAD</t>
        </is>
      </c>
      <c r="J933" s="149" t="n"/>
      <c r="K933" s="149" t="inlineStr">
        <is>
          <t>Unread</t>
        </is>
      </c>
      <c r="L933" s="152" t="n">
        <v>46176.92764111111</v>
      </c>
      <c r="M933" s="149" t="inlineStr">
        <is>
          <t>698cb7348a98cfb9f910d6d3</t>
        </is>
      </c>
    </row>
    <row r="934">
      <c r="A934" s="149" t="inlineStr">
        <is>
          <t>Project Notos</t>
        </is>
      </c>
      <c r="B934" s="149" t="inlineStr">
        <is>
          <t>3.1</t>
        </is>
      </c>
      <c r="C934" s="17" t="inlineStr">
        <is>
          <t>Innerio Thermal Technology (ITT )</t>
        </is>
      </c>
      <c r="D934" s="25" t="n"/>
      <c r="F934" s="150">
        <f>HYPERLINK("https://app.global.datasite.com/platform/container/696652ec0dc07cc02daa26a0/documents/content/index/698cb7348a98cfb9f910d6d4","Innerio Thermal Technology (ITT )")</f>
        <v/>
      </c>
      <c r="G934" s="149" t="inlineStr">
        <is>
          <t>FOLDER</t>
        </is>
      </c>
      <c r="H934" s="149" t="n"/>
      <c r="I934" s="149" t="inlineStr">
        <is>
          <t>DOWNLOAD</t>
        </is>
      </c>
      <c r="J934" s="149" t="n"/>
      <c r="K934" s="149" t="inlineStr">
        <is>
          <t>Unread</t>
        </is>
      </c>
      <c r="L934" s="152" t="n">
        <v>46176.92764111111</v>
      </c>
      <c r="M934" s="149" t="inlineStr">
        <is>
          <t>698cb7348a98cfb9f910d6d4</t>
        </is>
      </c>
    </row>
    <row r="935">
      <c r="A935" s="149" t="inlineStr">
        <is>
          <t>Project Notos</t>
        </is>
      </c>
      <c r="B935" s="149" t="inlineStr">
        <is>
          <t>3.1.1</t>
        </is>
      </c>
      <c r="C935" s="17" t="inlineStr">
        <is>
          <t>Tax compliance</t>
        </is>
      </c>
      <c r="D935" s="25" t="n"/>
      <c r="F935" s="150">
        <f>HYPERLINK("https://app.global.datasite.com/platform/container/696652ec0dc07cc02daa26a0/documents/content/index/69e1e223dd2684b9331b0a54","Tax compliance")</f>
        <v/>
      </c>
      <c r="G935" s="149" t="inlineStr">
        <is>
          <t>FOLDER</t>
        </is>
      </c>
      <c r="H935" s="149" t="n"/>
      <c r="I935" s="149" t="inlineStr">
        <is>
          <t>DOWNLOAD</t>
        </is>
      </c>
      <c r="J935" s="149" t="n"/>
      <c r="K935" s="149" t="inlineStr">
        <is>
          <t>Unread</t>
        </is>
      </c>
      <c r="L935" s="152" t="n">
        <v>46176.92764111111</v>
      </c>
      <c r="M935" s="149" t="inlineStr">
        <is>
          <t>69e1e223dd2684b9331b0a54</t>
        </is>
      </c>
    </row>
    <row r="936">
      <c r="A936" t="inlineStr">
        <is>
          <t>Project Notos</t>
        </is>
      </c>
      <c r="B936" t="inlineStr">
        <is>
          <t>3.1.1.1</t>
        </is>
      </c>
      <c r="C936" s="15" t="inlineStr">
        <is>
          <t>ITT Tax matrix_260413</t>
        </is>
      </c>
      <c r="D936" s="20" t="inlineStr">
        <is>
          <t>Out-of-Scope</t>
        </is>
      </c>
      <c r="F936" s="151">
        <f>HYPERLINK("https://app.global.datasite.com/webviewer/?projectId=696652ec0dc07cc02daa26a0&amp;documentId=69e1f305a228d1ae7a33bc58","ITT Tax matrix_260413")</f>
        <v/>
      </c>
      <c r="G936" t="inlineStr">
        <is>
          <t>DOCUMENT</t>
        </is>
      </c>
      <c r="H936" t="inlineStr">
        <is>
          <t>xlsm</t>
        </is>
      </c>
      <c r="I936" t="inlineStr">
        <is>
          <t>DOWNLOAD</t>
        </is>
      </c>
      <c r="J936" t="n">
        <v>0.00937938</v>
      </c>
      <c r="K936" t="inlineStr">
        <is>
          <t>Unread</t>
        </is>
      </c>
      <c r="L936" s="153" t="n">
        <v>46176.92764111111</v>
      </c>
      <c r="M936" t="inlineStr">
        <is>
          <t>69e1f305a228d1ae7a33bc58</t>
        </is>
      </c>
    </row>
    <row r="937">
      <c r="A937" s="149" t="inlineStr">
        <is>
          <t>Project Notos</t>
        </is>
      </c>
      <c r="B937" s="149" t="inlineStr">
        <is>
          <t>3.1.2</t>
        </is>
      </c>
      <c r="C937" s="17" t="inlineStr">
        <is>
          <t>CIT</t>
        </is>
      </c>
      <c r="D937" s="25" t="n"/>
      <c r="F937" s="150">
        <f>HYPERLINK("https://app.global.datasite.com/platform/container/696652ec0dc07cc02daa26a0/documents/content/index/69e1e223dd2684b9331b0a55","CIT")</f>
        <v/>
      </c>
      <c r="G937" s="149" t="inlineStr">
        <is>
          <t>FOLDER</t>
        </is>
      </c>
      <c r="H937" s="149" t="n"/>
      <c r="I937" s="149" t="inlineStr">
        <is>
          <t>DOWNLOAD</t>
        </is>
      </c>
      <c r="J937" s="149" t="n"/>
      <c r="K937" s="149" t="inlineStr">
        <is>
          <t>Unread</t>
        </is>
      </c>
      <c r="L937" s="152" t="n">
        <v>46176.92764111111</v>
      </c>
      <c r="M937" s="149" t="inlineStr">
        <is>
          <t>69e1e223dd2684b9331b0a55</t>
        </is>
      </c>
    </row>
    <row r="938">
      <c r="A938" t="inlineStr">
        <is>
          <t>Project Notos</t>
        </is>
      </c>
      <c r="B938" t="inlineStr">
        <is>
          <t>3.1.2.1</t>
        </is>
      </c>
      <c r="C938" s="15" t="inlineStr">
        <is>
          <t>Estra - 2023 tax return signed</t>
        </is>
      </c>
      <c r="D938" s="20" t="inlineStr">
        <is>
          <t>Out-of-Scope</t>
        </is>
      </c>
      <c r="F938" s="151">
        <f>HYPERLINK("https://app.global.datasite.com/webviewer/?projectId=696652ec0dc07cc02daa26a0&amp;documentId=69e1f9a348d54b9f72633bd2","Estra - 2023 tax return signed")</f>
        <v/>
      </c>
      <c r="G938" t="inlineStr">
        <is>
          <t>DOCUMENT</t>
        </is>
      </c>
      <c r="H938" t="inlineStr">
        <is>
          <t>pdf</t>
        </is>
      </c>
      <c r="I938" t="inlineStr">
        <is>
          <t>DOWNLOAD</t>
        </is>
      </c>
      <c r="J938" t="n">
        <v>0.58008861</v>
      </c>
      <c r="K938" t="inlineStr">
        <is>
          <t>Unread</t>
        </is>
      </c>
      <c r="L938" s="153" t="n">
        <v>46176.92764111111</v>
      </c>
      <c r="M938" t="inlineStr">
        <is>
          <t>69e1f9a348d54b9f72633bd2</t>
        </is>
      </c>
    </row>
    <row r="939">
      <c r="A939" t="inlineStr">
        <is>
          <t>Project Notos</t>
        </is>
      </c>
      <c r="B939" t="inlineStr">
        <is>
          <t>3.1.2.2</t>
        </is>
      </c>
      <c r="C939" s="15" t="inlineStr">
        <is>
          <t>ESTRA Automotive Systems Luxembourg S a r l_500_2024_GLOBAL_3</t>
        </is>
      </c>
      <c r="D939" s="20" t="inlineStr">
        <is>
          <t>Out-of-Scope</t>
        </is>
      </c>
      <c r="F939" s="151">
        <f>HYPERLINK("https://app.global.datasite.com/webviewer/?projectId=696652ec0dc07cc02daa26a0&amp;documentId=69e1f9a348d54b9f72633bd4","ESTRA Automotive Systems Luxembourg S a r l_500_2024_GLOBAL_3")</f>
        <v/>
      </c>
      <c r="G939" t="inlineStr">
        <is>
          <t>DOCUMENT</t>
        </is>
      </c>
      <c r="H939" t="inlineStr">
        <is>
          <t>pdf</t>
        </is>
      </c>
      <c r="I939" t="inlineStr">
        <is>
          <t>DOWNLOAD</t>
        </is>
      </c>
      <c r="J939" t="n">
        <v>2.86253166</v>
      </c>
      <c r="K939" t="inlineStr">
        <is>
          <t>Unread</t>
        </is>
      </c>
      <c r="L939" s="153" t="n">
        <v>46176.92764111111</v>
      </c>
      <c r="M939" t="inlineStr">
        <is>
          <t>69e1f9a348d54b9f72633bd4</t>
        </is>
      </c>
    </row>
    <row r="940">
      <c r="A940" s="154" t="inlineStr">
        <is>
          <t>Project Notos</t>
        </is>
      </c>
      <c r="B940" s="154" t="inlineStr">
        <is>
          <t>3.1.2.3</t>
        </is>
      </c>
      <c r="C940" s="155" t="inlineStr">
        <is>
          <t>CIT-8 Statement</t>
        </is>
      </c>
      <c r="D940" s="156" t="n"/>
      <c r="E940" s="156" t="n"/>
      <c r="F940" s="157">
        <f>HYPERLINK("https://app.global.datasite.com/platform/container/696652ec0dc07cc02daa26a0/documents/content/index/6a3ce51294259263def15a31","CIT-8 Statement")</f>
        <v/>
      </c>
      <c r="G940" s="154" t="inlineStr">
        <is>
          <t>FOLDER</t>
        </is>
      </c>
      <c r="H940" s="154" t="n"/>
      <c r="I940" s="154" t="inlineStr">
        <is>
          <t>DOWNLOAD</t>
        </is>
      </c>
      <c r="J940" s="154" t="n"/>
      <c r="K940" s="154" t="inlineStr">
        <is>
          <t>Unread</t>
        </is>
      </c>
      <c r="L940" s="158" t="n">
        <v>46198.4361333912</v>
      </c>
      <c r="M940" s="154" t="inlineStr">
        <is>
          <t>6a3ce51294259263def15a31</t>
        </is>
      </c>
    </row>
    <row r="941">
      <c r="A941" s="154" t="inlineStr">
        <is>
          <t>Project Notos</t>
        </is>
      </c>
      <c r="B941" s="154" t="inlineStr">
        <is>
          <t>3.1.2.3.1</t>
        </is>
      </c>
      <c r="C941" s="155" t="inlineStr">
        <is>
          <t>ITT CIT-8 2023 original</t>
        </is>
      </c>
      <c r="D941" s="156" t="n"/>
      <c r="E941" s="156" t="n"/>
      <c r="F941" s="157">
        <f>HYPERLINK("https://app.global.datasite.com/webviewer/?projectId=696652ec0dc07cc02daa26a0&amp;documentId=6a3c127d75fdd9efe11e6251","ITT CIT-8 2023 original")</f>
        <v/>
      </c>
      <c r="G941" s="154" t="inlineStr">
        <is>
          <t>DOCUMENT</t>
        </is>
      </c>
      <c r="H941" s="154" t="inlineStr">
        <is>
          <t>pdf</t>
        </is>
      </c>
      <c r="I941" s="154" t="inlineStr">
        <is>
          <t>DOWNLOAD</t>
        </is>
      </c>
      <c r="J941" s="154" t="n">
        <v>0.13918495</v>
      </c>
      <c r="K941" s="154" t="inlineStr">
        <is>
          <t>Unread</t>
        </is>
      </c>
      <c r="L941" s="158" t="n">
        <v>46198.4361333912</v>
      </c>
      <c r="M941" s="154" t="inlineStr">
        <is>
          <t>6a3c127d75fdd9efe11e6251</t>
        </is>
      </c>
    </row>
    <row r="942">
      <c r="A942" s="154" t="inlineStr">
        <is>
          <t>Project Notos</t>
        </is>
      </c>
      <c r="B942" s="154" t="inlineStr">
        <is>
          <t>3.1.2.3.2</t>
        </is>
      </c>
      <c r="C942" s="155" t="inlineStr">
        <is>
          <t>ITT CIT-8 2023 kor1</t>
        </is>
      </c>
      <c r="D942" s="156" t="n"/>
      <c r="E942" s="156" t="n"/>
      <c r="F942" s="157">
        <f>HYPERLINK("https://app.global.datasite.com/webviewer/?projectId=696652ec0dc07cc02daa26a0&amp;documentId=6a3c127d75fdd9efe11e6250","ITT CIT-8 2023 kor1")</f>
        <v/>
      </c>
      <c r="G942" s="154" t="inlineStr">
        <is>
          <t>DOCUMENT</t>
        </is>
      </c>
      <c r="H942" s="154" t="inlineStr">
        <is>
          <t>pdf</t>
        </is>
      </c>
      <c r="I942" s="154" t="inlineStr">
        <is>
          <t>DOWNLOAD</t>
        </is>
      </c>
      <c r="J942" s="154" t="n">
        <v>0.14091682</v>
      </c>
      <c r="K942" s="154" t="inlineStr">
        <is>
          <t>Unread</t>
        </is>
      </c>
      <c r="L942" s="158" t="n">
        <v>46198.4361333912</v>
      </c>
      <c r="M942" s="154" t="inlineStr">
        <is>
          <t>6a3c127d75fdd9efe11e6250</t>
        </is>
      </c>
    </row>
    <row r="943">
      <c r="A943" s="154" t="inlineStr">
        <is>
          <t>Project Notos</t>
        </is>
      </c>
      <c r="B943" s="154" t="inlineStr">
        <is>
          <t>3.1.2.3.3</t>
        </is>
      </c>
      <c r="C943" s="155" t="inlineStr">
        <is>
          <t>ITT CIT-8 2024 original</t>
        </is>
      </c>
      <c r="D943" s="156" t="n"/>
      <c r="E943" s="156" t="n"/>
      <c r="F943" s="157">
        <f>HYPERLINK("https://app.global.datasite.com/webviewer/?projectId=696652ec0dc07cc02daa26a0&amp;documentId=6a3c127d75fdd9efe11e6254","ITT CIT-8 2024 original")</f>
        <v/>
      </c>
      <c r="G943" s="154" t="inlineStr">
        <is>
          <t>DOCUMENT</t>
        </is>
      </c>
      <c r="H943" s="154" t="inlineStr">
        <is>
          <t>pdf</t>
        </is>
      </c>
      <c r="I943" s="154" t="inlineStr">
        <is>
          <t>DOWNLOAD</t>
        </is>
      </c>
      <c r="J943" s="154" t="n">
        <v>0.13905334</v>
      </c>
      <c r="K943" s="154" t="inlineStr">
        <is>
          <t>Unread</t>
        </is>
      </c>
      <c r="L943" s="158" t="n">
        <v>46198.4361333912</v>
      </c>
      <c r="M943" s="154" t="inlineStr">
        <is>
          <t>6a3c127d75fdd9efe11e6254</t>
        </is>
      </c>
    </row>
    <row r="944">
      <c r="A944" s="154" t="inlineStr">
        <is>
          <t>Project Notos</t>
        </is>
      </c>
      <c r="B944" s="154" t="inlineStr">
        <is>
          <t>3.1.2.3.4</t>
        </is>
      </c>
      <c r="C944" s="155" t="inlineStr">
        <is>
          <t>ITT CIT-8 2024 kor1</t>
        </is>
      </c>
      <c r="D944" s="156" t="n"/>
      <c r="E944" s="156" t="n"/>
      <c r="F944" s="157">
        <f>HYPERLINK("https://app.global.datasite.com/webviewer/?projectId=696652ec0dc07cc02daa26a0&amp;documentId=6a3c127d75fdd9efe11e6252","ITT CIT-8 2024 kor1")</f>
        <v/>
      </c>
      <c r="G944" s="154" t="inlineStr">
        <is>
          <t>DOCUMENT</t>
        </is>
      </c>
      <c r="H944" s="154" t="inlineStr">
        <is>
          <t>pdf</t>
        </is>
      </c>
      <c r="I944" s="154" t="inlineStr">
        <is>
          <t>DOWNLOAD</t>
        </is>
      </c>
      <c r="J944" s="154" t="n">
        <v>0.14082336</v>
      </c>
      <c r="K944" s="154" t="inlineStr">
        <is>
          <t>Unread</t>
        </is>
      </c>
      <c r="L944" s="158" t="n">
        <v>46198.4361333912</v>
      </c>
      <c r="M944" s="154" t="inlineStr">
        <is>
          <t>6a3c127d75fdd9efe11e6252</t>
        </is>
      </c>
    </row>
    <row r="945">
      <c r="A945" s="154" t="inlineStr">
        <is>
          <t>Project Notos</t>
        </is>
      </c>
      <c r="B945" s="154" t="inlineStr">
        <is>
          <t>3.1.2.3.5</t>
        </is>
      </c>
      <c r="C945" s="155" t="inlineStr">
        <is>
          <t>ITT CIT-8 2024 kor2</t>
        </is>
      </c>
      <c r="D945" s="156" t="n"/>
      <c r="E945" s="156" t="n"/>
      <c r="F945" s="157">
        <f>HYPERLINK("https://app.global.datasite.com/webviewer/?projectId=696652ec0dc07cc02daa26a0&amp;documentId=6a3c127d75fdd9efe11e6253","ITT CIT-8 2024 kor2")</f>
        <v/>
      </c>
      <c r="G945" s="154" t="inlineStr">
        <is>
          <t>DOCUMENT</t>
        </is>
      </c>
      <c r="H945" s="154" t="inlineStr">
        <is>
          <t>pdf</t>
        </is>
      </c>
      <c r="I945" s="154" t="inlineStr">
        <is>
          <t>DOWNLOAD</t>
        </is>
      </c>
      <c r="J945" s="154" t="n">
        <v>0.14091968</v>
      </c>
      <c r="K945" s="154" t="inlineStr">
        <is>
          <t>Unread</t>
        </is>
      </c>
      <c r="L945" s="158" t="n">
        <v>46198.4361333912</v>
      </c>
      <c r="M945" s="154" t="inlineStr">
        <is>
          <t>6a3c127d75fdd9efe11e6253</t>
        </is>
      </c>
    </row>
    <row r="946">
      <c r="A946" s="154" t="inlineStr">
        <is>
          <t>Project Notos</t>
        </is>
      </c>
      <c r="B946" s="154" t="inlineStr">
        <is>
          <t>3.1.2.3.6</t>
        </is>
      </c>
      <c r="C946" s="155" t="inlineStr">
        <is>
          <t>ITT CIT-8 2025</t>
        </is>
      </c>
      <c r="D946" s="156" t="n"/>
      <c r="E946" s="156" t="n"/>
      <c r="F946" s="157">
        <f>HYPERLINK("https://app.global.datasite.com/webviewer/?projectId=696652ec0dc07cc02daa26a0&amp;documentId=6a3c127d75fdd9efe11e624f","ITT CIT-8 2025")</f>
        <v/>
      </c>
      <c r="G946" s="154" t="inlineStr">
        <is>
          <t>DOCUMENT</t>
        </is>
      </c>
      <c r="H946" s="154" t="inlineStr">
        <is>
          <t>pdf</t>
        </is>
      </c>
      <c r="I946" s="154" t="inlineStr">
        <is>
          <t>DOWNLOAD</t>
        </is>
      </c>
      <c r="J946" s="154" t="n">
        <v>0.18259525</v>
      </c>
      <c r="K946" s="154" t="inlineStr">
        <is>
          <t>Unread</t>
        </is>
      </c>
      <c r="L946" s="158" t="n">
        <v>46198.4361333912</v>
      </c>
      <c r="M946" s="154" t="inlineStr">
        <is>
          <t>6a3c127d75fdd9efe11e624f</t>
        </is>
      </c>
    </row>
    <row r="947">
      <c r="A947" s="154" t="inlineStr">
        <is>
          <t>Project Notos</t>
        </is>
      </c>
      <c r="B947" s="154" t="inlineStr">
        <is>
          <t>3.1.2.4</t>
        </is>
      </c>
      <c r="C947" s="155" t="inlineStr">
        <is>
          <t>CIT calculation</t>
        </is>
      </c>
      <c r="D947" s="156" t="n"/>
      <c r="E947" s="156" t="n"/>
      <c r="F947" s="157">
        <f>HYPERLINK("https://app.global.datasite.com/platform/container/696652ec0dc07cc02daa26a0/documents/content/index/6a3ce562d3e46919af314bdc","CIT calculation")</f>
        <v/>
      </c>
      <c r="G947" s="154" t="inlineStr">
        <is>
          <t>FOLDER</t>
        </is>
      </c>
      <c r="H947" s="154" t="n"/>
      <c r="I947" s="154" t="inlineStr">
        <is>
          <t>DOWNLOAD</t>
        </is>
      </c>
      <c r="J947" s="154" t="n"/>
      <c r="K947" s="154" t="inlineStr">
        <is>
          <t>Unread</t>
        </is>
      </c>
      <c r="L947" s="158" t="n">
        <v>46198.4361333912</v>
      </c>
      <c r="M947" s="154" t="inlineStr">
        <is>
          <t>6a3ce562d3e46919af314bdc</t>
        </is>
      </c>
    </row>
    <row r="948">
      <c r="A948" s="154" t="inlineStr">
        <is>
          <t>Project Notos</t>
        </is>
      </c>
      <c r="B948" s="154" t="inlineStr">
        <is>
          <t>3.1.2.4.1</t>
        </is>
      </c>
      <c r="C948" s="155" t="inlineStr">
        <is>
          <t>Estra Automotive_kalkulacja CIT_2023</t>
        </is>
      </c>
      <c r="D948" s="156" t="n"/>
      <c r="E948" s="156" t="n"/>
      <c r="F948" s="157">
        <f>HYPERLINK("https://app.global.datasite.com/webviewer/?projectId=696652ec0dc07cc02daa26a0&amp;documentId=6a3c19b0f17f96c69ac5d6f8","Estra Automotive_kalkulacja CIT_2023")</f>
        <v/>
      </c>
      <c r="G948" s="154" t="inlineStr">
        <is>
          <t>DOCUMENT</t>
        </is>
      </c>
      <c r="H948" s="154" t="inlineStr">
        <is>
          <t>pdf</t>
        </is>
      </c>
      <c r="I948" s="154" t="inlineStr">
        <is>
          <t>DOWNLOAD</t>
        </is>
      </c>
      <c r="J948" s="154" t="n">
        <v>0.159976</v>
      </c>
      <c r="K948" s="154" t="inlineStr">
        <is>
          <t>Unread</t>
        </is>
      </c>
      <c r="L948" s="158" t="n">
        <v>46198.4361333912</v>
      </c>
      <c r="M948" s="154" t="inlineStr">
        <is>
          <t>6a3c19b0f17f96c69ac5d6f8</t>
        </is>
      </c>
    </row>
    <row r="949">
      <c r="A949" s="154" t="inlineStr">
        <is>
          <t>Project Notos</t>
        </is>
      </c>
      <c r="B949" s="154" t="inlineStr">
        <is>
          <t>3.1.2.4.2</t>
        </is>
      </c>
      <c r="C949" s="155" t="inlineStr">
        <is>
          <t>Estra Automotive_kalkulacja CIT_2024</t>
        </is>
      </c>
      <c r="D949" s="156" t="n"/>
      <c r="E949" s="156" t="n"/>
      <c r="F949" s="157">
        <f>HYPERLINK("https://app.global.datasite.com/webviewer/?projectId=696652ec0dc07cc02daa26a0&amp;documentId=6a3c19b0f17f96c69ac5d6f9","Estra Automotive_kalkulacja CIT_2024")</f>
        <v/>
      </c>
      <c r="G949" s="154" t="inlineStr">
        <is>
          <t>DOCUMENT</t>
        </is>
      </c>
      <c r="H949" s="154" t="inlineStr">
        <is>
          <t>pdf</t>
        </is>
      </c>
      <c r="I949" s="154" t="inlineStr">
        <is>
          <t>DOWNLOAD</t>
        </is>
      </c>
      <c r="J949" s="154" t="n">
        <v>0.29580116</v>
      </c>
      <c r="K949" s="154" t="inlineStr">
        <is>
          <t>Unread</t>
        </is>
      </c>
      <c r="L949" s="158" t="n">
        <v>46198.4361333912</v>
      </c>
      <c r="M949" s="154" t="inlineStr">
        <is>
          <t>6a3c19b0f17f96c69ac5d6f9</t>
        </is>
      </c>
    </row>
    <row r="950">
      <c r="A950" s="154" t="inlineStr">
        <is>
          <t>Project Notos</t>
        </is>
      </c>
      <c r="B950" s="154" t="inlineStr">
        <is>
          <t>3.1.2.4.3</t>
        </is>
      </c>
      <c r="C950" s="155" t="inlineStr">
        <is>
          <t>Estra Automotive_kalkulacja CIT_2025</t>
        </is>
      </c>
      <c r="D950" s="156" t="n"/>
      <c r="E950" s="156" t="n"/>
      <c r="F950" s="157">
        <f>HYPERLINK("https://app.global.datasite.com/webviewer/?projectId=696652ec0dc07cc02daa26a0&amp;documentId=6a3c19b0f17f96c69ac5d6fa","Estra Automotive_kalkulacja CIT_2025")</f>
        <v/>
      </c>
      <c r="G950" s="154" t="inlineStr">
        <is>
          <t>DOCUMENT</t>
        </is>
      </c>
      <c r="H950" s="154" t="inlineStr">
        <is>
          <t>pdf</t>
        </is>
      </c>
      <c r="I950" s="154" t="inlineStr">
        <is>
          <t>DOWNLOAD</t>
        </is>
      </c>
      <c r="J950" s="154" t="n">
        <v>0.15467834</v>
      </c>
      <c r="K950" s="154" t="inlineStr">
        <is>
          <t>Unread</t>
        </is>
      </c>
      <c r="L950" s="158" t="n">
        <v>46198.4361333912</v>
      </c>
      <c r="M950" s="154" t="inlineStr">
        <is>
          <t>6a3c19b0f17f96c69ac5d6fa</t>
        </is>
      </c>
    </row>
    <row r="951">
      <c r="A951" s="154" t="inlineStr">
        <is>
          <t>Project Notos</t>
        </is>
      </c>
      <c r="B951" s="154" t="inlineStr">
        <is>
          <t>3.1.2.5</t>
        </is>
      </c>
      <c r="C951" s="155" t="inlineStr">
        <is>
          <t>CIT Tax verification</t>
        </is>
      </c>
      <c r="D951" s="156" t="n"/>
      <c r="E951" s="156" t="n"/>
      <c r="F951" s="157">
        <f>HYPERLINK("https://app.global.datasite.com/platform/container/696652ec0dc07cc02daa26a0/documents/content/index/6a3ced82d068d307edada467","CIT Tax verification")</f>
        <v/>
      </c>
      <c r="G951" s="154" t="inlineStr">
        <is>
          <t>FOLDER</t>
        </is>
      </c>
      <c r="H951" s="154" t="n"/>
      <c r="I951" s="154" t="inlineStr">
        <is>
          <t>DOWNLOAD</t>
        </is>
      </c>
      <c r="J951" s="154" t="n"/>
      <c r="K951" s="154" t="inlineStr">
        <is>
          <t>Unread</t>
        </is>
      </c>
      <c r="L951" s="158" t="n">
        <v>46198.66781890046</v>
      </c>
      <c r="M951" s="154" t="inlineStr">
        <is>
          <t>6a3ced82d068d307edada467</t>
        </is>
      </c>
    </row>
    <row r="952">
      <c r="A952" s="154" t="inlineStr">
        <is>
          <t>Project Notos</t>
        </is>
      </c>
      <c r="B952" s="154" t="inlineStr">
        <is>
          <t>3.1.2.5.1</t>
        </is>
      </c>
      <c r="C952" s="155" t="inlineStr">
        <is>
          <t>ITT_CIT 2024 tax verification - final findings</t>
        </is>
      </c>
      <c r="D952" s="156" t="n"/>
      <c r="E952" s="156" t="n"/>
      <c r="F952" s="157">
        <f>HYPERLINK("https://app.global.datasite.com/webviewer/?projectId=696652ec0dc07cc02daa26a0&amp;documentId=6a3ced95a444533360168a78","ITT_CIT 2024 tax verification - final findings")</f>
        <v/>
      </c>
      <c r="G952" s="154" t="inlineStr">
        <is>
          <t>DOCUMENT</t>
        </is>
      </c>
      <c r="H952" s="154" t="inlineStr">
        <is>
          <t>pdf</t>
        </is>
      </c>
      <c r="I952" s="154" t="inlineStr">
        <is>
          <t>DOWNLOAD</t>
        </is>
      </c>
      <c r="J952" s="154" t="n">
        <v>0.89898014</v>
      </c>
      <c r="K952" s="154" t="inlineStr">
        <is>
          <t>Unread</t>
        </is>
      </c>
      <c r="L952" s="158" t="n">
        <v>46198.66781842593</v>
      </c>
      <c r="M952" s="154" t="inlineStr">
        <is>
          <t>6a3ced95a444533360168a78</t>
        </is>
      </c>
    </row>
    <row r="953">
      <c r="A953" s="154" t="inlineStr">
        <is>
          <t>Project Notos</t>
        </is>
      </c>
      <c r="B953" s="154" t="inlineStr">
        <is>
          <t>3.1.2.5.2</t>
        </is>
      </c>
      <c r="C953" s="155" t="inlineStr">
        <is>
          <t>ITT_2471-24-043344 Protokół Kontroli Podatkowej NIP 5263325222</t>
        </is>
      </c>
      <c r="D953" s="156" t="n"/>
      <c r="E953" s="156" t="n"/>
      <c r="F953" s="157">
        <f>HYPERLINK("https://app.global.datasite.com/webviewer/?projectId=696652ec0dc07cc02daa26a0&amp;documentId=6a3cf3b82474c72c079e06d6","ITT_2471-24-043344 Protokół Kontroli Podatkowej NIP 5263325222")</f>
        <v/>
      </c>
      <c r="G953" s="154" t="inlineStr">
        <is>
          <t>DOCUMENT</t>
        </is>
      </c>
      <c r="H953" s="154" t="inlineStr">
        <is>
          <t>pdf</t>
        </is>
      </c>
      <c r="I953" s="154" t="inlineStr">
        <is>
          <t>DOWNLOAD</t>
        </is>
      </c>
      <c r="J953" s="154" t="n">
        <v>0.31072235</v>
      </c>
      <c r="K953" s="154" t="inlineStr">
        <is>
          <t>Unread</t>
        </is>
      </c>
      <c r="L953" s="158" t="n">
        <v>46198.66848851852</v>
      </c>
      <c r="M953" s="154" t="inlineStr">
        <is>
          <t>6a3cf3b82474c72c079e06d6</t>
        </is>
      </c>
    </row>
    <row r="954">
      <c r="A954" s="149" t="inlineStr">
        <is>
          <t>Project Notos</t>
        </is>
      </c>
      <c r="B954" s="149" t="inlineStr">
        <is>
          <t>3.1.3</t>
        </is>
      </c>
      <c r="C954" s="17" t="inlineStr">
        <is>
          <t>VAT</t>
        </is>
      </c>
      <c r="D954" s="25" t="n"/>
      <c r="F954" s="150">
        <f>HYPERLINK("https://app.global.datasite.com/platform/container/696652ec0dc07cc02daa26a0/documents/content/index/69e1e223dd2684b9331b0a56","VAT")</f>
        <v/>
      </c>
      <c r="G954" s="149" t="inlineStr">
        <is>
          <t>FOLDER</t>
        </is>
      </c>
      <c r="H954" s="149" t="n"/>
      <c r="I954" s="149" t="inlineStr">
        <is>
          <t>DOWNLOAD</t>
        </is>
      </c>
      <c r="J954" s="149" t="n"/>
      <c r="K954" s="149" t="inlineStr">
        <is>
          <t>Unread</t>
        </is>
      </c>
      <c r="L954" s="152" t="n">
        <v>46176.92764111111</v>
      </c>
      <c r="M954" s="149" t="inlineStr">
        <is>
          <t>69e1e223dd2684b9331b0a56</t>
        </is>
      </c>
    </row>
    <row r="955">
      <c r="A955" s="149" t="inlineStr">
        <is>
          <t>Project Notos</t>
        </is>
      </c>
      <c r="B955" s="149" t="inlineStr">
        <is>
          <t>3.1.3.1</t>
        </is>
      </c>
      <c r="C955" s="17" t="inlineStr">
        <is>
          <t>2024</t>
        </is>
      </c>
      <c r="D955" s="25" t="n"/>
      <c r="F955" s="150">
        <f>HYPERLINK("https://app.global.datasite.com/platform/container/696652ec0dc07cc02daa26a0/documents/content/index/69e1f9b461acfd443be25975","2024")</f>
        <v/>
      </c>
      <c r="G955" s="149" t="inlineStr">
        <is>
          <t>FOLDER</t>
        </is>
      </c>
      <c r="H955" s="149" t="n"/>
      <c r="I955" s="149" t="inlineStr">
        <is>
          <t>DOWNLOAD</t>
        </is>
      </c>
      <c r="J955" s="149" t="n"/>
      <c r="K955" s="149" t="inlineStr">
        <is>
          <t>Unread</t>
        </is>
      </c>
      <c r="L955" s="152" t="n">
        <v>46176.92764111111</v>
      </c>
      <c r="M955" s="149" t="inlineStr">
        <is>
          <t>69e1f9b461acfd443be25975</t>
        </is>
      </c>
    </row>
    <row r="956">
      <c r="A956" t="inlineStr">
        <is>
          <t>Project Notos</t>
        </is>
      </c>
      <c r="B956" t="inlineStr">
        <is>
          <t>3.1.3.1.1</t>
        </is>
      </c>
      <c r="C956" s="15" t="inlineStr">
        <is>
          <t>Y2024 Estra filed return 20251222</t>
        </is>
      </c>
      <c r="D956" s="20" t="inlineStr">
        <is>
          <t>Out-of-Scope</t>
        </is>
      </c>
      <c r="F956" s="151">
        <f>HYPERLINK("https://app.global.datasite.com/webviewer/?projectId=696652ec0dc07cc02daa26a0&amp;documentId=69e1f9b461acfd443be25981","Y2024 Estra filed return 20251222")</f>
        <v/>
      </c>
      <c r="G956" t="inlineStr">
        <is>
          <t>DOCUMENT</t>
        </is>
      </c>
      <c r="H956" t="inlineStr">
        <is>
          <t>pdf</t>
        </is>
      </c>
      <c r="I956" t="inlineStr">
        <is>
          <t>DOWNLOAD</t>
        </is>
      </c>
      <c r="J956" t="n">
        <v>0.21012496</v>
      </c>
      <c r="K956" t="inlineStr">
        <is>
          <t>Unread</t>
        </is>
      </c>
      <c r="L956" s="153" t="n">
        <v>46176.92764111111</v>
      </c>
      <c r="M956" t="inlineStr">
        <is>
          <t>69e1f9b461acfd443be25981</t>
        </is>
      </c>
    </row>
    <row r="957">
      <c r="A957" s="154" t="inlineStr">
        <is>
          <t>Project Notos</t>
        </is>
      </c>
      <c r="B957" s="154" t="inlineStr">
        <is>
          <t>3.1.3.1.2</t>
        </is>
      </c>
      <c r="C957" s="155" t="inlineStr">
        <is>
          <t>JPK_V7M_202409_Dekl</t>
        </is>
      </c>
      <c r="D957" s="156" t="n"/>
      <c r="E957" s="156" t="n"/>
      <c r="F957" s="157">
        <f>HYPERLINK("https://app.global.datasite.com/webviewer/?projectId=696652ec0dc07cc02daa26a0&amp;documentId=6a3c13b8a4445333601657f6","JPK_V7M_202409_Dekl")</f>
        <v/>
      </c>
      <c r="G957" s="154" t="inlineStr">
        <is>
          <t>DOCUMENT</t>
        </is>
      </c>
      <c r="H957" s="154" t="inlineStr">
        <is>
          <t>pdf</t>
        </is>
      </c>
      <c r="I957" s="154" t="inlineStr">
        <is>
          <t>DOWNLOAD</t>
        </is>
      </c>
      <c r="J957" s="154" t="n">
        <v>0.42726516</v>
      </c>
      <c r="K957" s="154" t="inlineStr">
        <is>
          <t>Unread</t>
        </is>
      </c>
      <c r="L957" s="158" t="n">
        <v>46198.66996618055</v>
      </c>
      <c r="M957" s="154" t="inlineStr">
        <is>
          <t>6a3c13b8a4445333601657f6</t>
        </is>
      </c>
    </row>
    <row r="958">
      <c r="A958" s="154" t="inlineStr">
        <is>
          <t>Project Notos</t>
        </is>
      </c>
      <c r="B958" s="154" t="inlineStr">
        <is>
          <t>3.1.3.1.3</t>
        </is>
      </c>
      <c r="C958" s="155" t="inlineStr">
        <is>
          <t>JPK_V7M_202409_Kor</t>
        </is>
      </c>
      <c r="D958" s="156" t="n"/>
      <c r="E958" s="156" t="n"/>
      <c r="F958" s="157">
        <f>HYPERLINK("https://app.global.datasite.com/webviewer/?projectId=696652ec0dc07cc02daa26a0&amp;documentId=6a3c13b8a4445333601657f7","JPK_V7M_202409_Kor")</f>
        <v/>
      </c>
      <c r="G958" s="154" t="inlineStr">
        <is>
          <t>DOCUMENT</t>
        </is>
      </c>
      <c r="H958" s="154" t="inlineStr">
        <is>
          <t>pdf</t>
        </is>
      </c>
      <c r="I958" s="154" t="inlineStr">
        <is>
          <t>DOWNLOAD</t>
        </is>
      </c>
      <c r="J958" s="154" t="n">
        <v>0.43071269</v>
      </c>
      <c r="K958" s="154" t="inlineStr">
        <is>
          <t>Unread</t>
        </is>
      </c>
      <c r="L958" s="158" t="n">
        <v>46198.66996618055</v>
      </c>
      <c r="M958" s="154" t="inlineStr">
        <is>
          <t>6a3c13b8a4445333601657f7</t>
        </is>
      </c>
    </row>
    <row r="959">
      <c r="A959" s="154" t="inlineStr">
        <is>
          <t>Project Notos</t>
        </is>
      </c>
      <c r="B959" s="154" t="inlineStr">
        <is>
          <t>3.1.3.1.4</t>
        </is>
      </c>
      <c r="C959" s="155" t="inlineStr">
        <is>
          <t>JPK_V7M_202410_Dekl</t>
        </is>
      </c>
      <c r="D959" s="156" t="n"/>
      <c r="E959" s="156" t="n"/>
      <c r="F959" s="157">
        <f>HYPERLINK("https://app.global.datasite.com/webviewer/?projectId=696652ec0dc07cc02daa26a0&amp;documentId=6a3c13b8a4445333601657f8","JPK_V7M_202410_Dekl")</f>
        <v/>
      </c>
      <c r="G959" s="154" t="inlineStr">
        <is>
          <t>DOCUMENT</t>
        </is>
      </c>
      <c r="H959" s="154" t="inlineStr">
        <is>
          <t>pdf</t>
        </is>
      </c>
      <c r="I959" s="154" t="inlineStr">
        <is>
          <t>DOWNLOAD</t>
        </is>
      </c>
      <c r="J959" s="154" t="n">
        <v>0.42714405</v>
      </c>
      <c r="K959" s="154" t="inlineStr">
        <is>
          <t>Unread</t>
        </is>
      </c>
      <c r="L959" s="158" t="n">
        <v>46198.66996618055</v>
      </c>
      <c r="M959" s="154" t="inlineStr">
        <is>
          <t>6a3c13b8a4445333601657f8</t>
        </is>
      </c>
    </row>
    <row r="960">
      <c r="A960" s="154" t="inlineStr">
        <is>
          <t>Project Notos</t>
        </is>
      </c>
      <c r="B960" s="154" t="inlineStr">
        <is>
          <t>3.1.3.1.5</t>
        </is>
      </c>
      <c r="C960" s="155" t="inlineStr">
        <is>
          <t>JPK_V7M_202410_Kor</t>
        </is>
      </c>
      <c r="D960" s="156" t="n"/>
      <c r="E960" s="156" t="n"/>
      <c r="F960" s="157">
        <f>HYPERLINK("https://app.global.datasite.com/webviewer/?projectId=696652ec0dc07cc02daa26a0&amp;documentId=6a3c13b8a4445333601657f9","JPK_V7M_202410_Kor")</f>
        <v/>
      </c>
      <c r="G960" s="154" t="inlineStr">
        <is>
          <t>DOCUMENT</t>
        </is>
      </c>
      <c r="H960" s="154" t="inlineStr">
        <is>
          <t>pdf</t>
        </is>
      </c>
      <c r="I960" s="154" t="inlineStr">
        <is>
          <t>DOWNLOAD</t>
        </is>
      </c>
      <c r="J960" s="154" t="n">
        <v>0.43072605</v>
      </c>
      <c r="K960" s="154" t="inlineStr">
        <is>
          <t>Unread</t>
        </is>
      </c>
      <c r="L960" s="158" t="n">
        <v>46198.66996618055</v>
      </c>
      <c r="M960" s="154" t="inlineStr">
        <is>
          <t>6a3c13b8a4445333601657f9</t>
        </is>
      </c>
    </row>
    <row r="961">
      <c r="A961" s="154" t="inlineStr">
        <is>
          <t>Project Notos</t>
        </is>
      </c>
      <c r="B961" s="154" t="inlineStr">
        <is>
          <t>3.1.3.1.6</t>
        </is>
      </c>
      <c r="C961" s="155" t="inlineStr">
        <is>
          <t>JPK_V7M_202411_Dekl</t>
        </is>
      </c>
      <c r="D961" s="156" t="n"/>
      <c r="E961" s="156" t="n"/>
      <c r="F961" s="157">
        <f>HYPERLINK("https://app.global.datasite.com/webviewer/?projectId=696652ec0dc07cc02daa26a0&amp;documentId=6a3c13b8a4445333601657fa","JPK_V7M_202411_Dekl")</f>
        <v/>
      </c>
      <c r="G961" s="154" t="inlineStr">
        <is>
          <t>DOCUMENT</t>
        </is>
      </c>
      <c r="H961" s="154" t="inlineStr">
        <is>
          <t>pdf</t>
        </is>
      </c>
      <c r="I961" s="154" t="inlineStr">
        <is>
          <t>DOWNLOAD</t>
        </is>
      </c>
      <c r="J961" s="154" t="n">
        <v>0.42717647</v>
      </c>
      <c r="K961" s="154" t="inlineStr">
        <is>
          <t>Unread</t>
        </is>
      </c>
      <c r="L961" s="158" t="n">
        <v>46198.66996618055</v>
      </c>
      <c r="M961" s="154" t="inlineStr">
        <is>
          <t>6a3c13b8a4445333601657fa</t>
        </is>
      </c>
    </row>
    <row r="962">
      <c r="A962" s="154" t="inlineStr">
        <is>
          <t>Project Notos</t>
        </is>
      </c>
      <c r="B962" s="154" t="inlineStr">
        <is>
          <t>3.1.3.1.7</t>
        </is>
      </c>
      <c r="C962" s="155" t="inlineStr">
        <is>
          <t>JPK_V7M_202412_Dekl</t>
        </is>
      </c>
      <c r="D962" s="156" t="n"/>
      <c r="E962" s="156" t="n"/>
      <c r="F962" s="157">
        <f>HYPERLINK("https://app.global.datasite.com/webviewer/?projectId=696652ec0dc07cc02daa26a0&amp;documentId=6a3c13b8a4445333601657fb","JPK_V7M_202412_Dekl")</f>
        <v/>
      </c>
      <c r="G962" s="154" t="inlineStr">
        <is>
          <t>DOCUMENT</t>
        </is>
      </c>
      <c r="H962" s="154" t="inlineStr">
        <is>
          <t>pdf</t>
        </is>
      </c>
      <c r="I962" s="154" t="inlineStr">
        <is>
          <t>DOWNLOAD</t>
        </is>
      </c>
      <c r="J962" s="154" t="n">
        <v>0.42713642</v>
      </c>
      <c r="K962" s="154" t="inlineStr">
        <is>
          <t>Unread</t>
        </is>
      </c>
      <c r="L962" s="158" t="n">
        <v>46198.66996618055</v>
      </c>
      <c r="M962" s="154" t="inlineStr">
        <is>
          <t>6a3c13b8a4445333601657fb</t>
        </is>
      </c>
    </row>
    <row r="963">
      <c r="A963" s="154" t="inlineStr">
        <is>
          <t>Project Notos</t>
        </is>
      </c>
      <c r="B963" s="154" t="inlineStr">
        <is>
          <t>3.1.3.1.8</t>
        </is>
      </c>
      <c r="C963" s="155" t="inlineStr">
        <is>
          <t>JPK_V7M_202412_Kor</t>
        </is>
      </c>
      <c r="D963" s="156" t="n"/>
      <c r="E963" s="156" t="n"/>
      <c r="F963" s="157">
        <f>HYPERLINK("https://app.global.datasite.com/webviewer/?projectId=696652ec0dc07cc02daa26a0&amp;documentId=6a3c13b8a4445333601657fc","JPK_V7M_202412_Kor")</f>
        <v/>
      </c>
      <c r="G963" s="154" t="inlineStr">
        <is>
          <t>DOCUMENT</t>
        </is>
      </c>
      <c r="H963" s="154" t="inlineStr">
        <is>
          <t>pdf</t>
        </is>
      </c>
      <c r="I963" s="154" t="inlineStr">
        <is>
          <t>DOWNLOAD</t>
        </is>
      </c>
      <c r="J963" s="154" t="n">
        <v>0.42952346</v>
      </c>
      <c r="K963" s="154" t="inlineStr">
        <is>
          <t>Unread</t>
        </is>
      </c>
      <c r="L963" s="158" t="n">
        <v>46198.66996618055</v>
      </c>
      <c r="M963" s="154" t="inlineStr">
        <is>
          <t>6a3c13b8a4445333601657fc</t>
        </is>
      </c>
    </row>
    <row r="964">
      <c r="A964" s="154" t="inlineStr">
        <is>
          <t>Project Notos</t>
        </is>
      </c>
      <c r="B964" s="154" t="inlineStr">
        <is>
          <t>3.1.3.2</t>
        </is>
      </c>
      <c r="C964" s="155" t="inlineStr">
        <is>
          <t>2025</t>
        </is>
      </c>
      <c r="D964" s="156" t="n"/>
      <c r="E964" s="156" t="n"/>
      <c r="F964" s="157">
        <f>HYPERLINK("https://app.global.datasite.com/platform/container/696652ec0dc07cc02daa26a0/documents/content/index/6a3c13b8a4445333601657f5","2025")</f>
        <v/>
      </c>
      <c r="G964" s="154" t="inlineStr">
        <is>
          <t>FOLDER</t>
        </is>
      </c>
      <c r="H964" s="154" t="n"/>
      <c r="I964" s="154" t="inlineStr">
        <is>
          <t>DOWNLOAD</t>
        </is>
      </c>
      <c r="J964" s="154" t="n"/>
      <c r="K964" s="154" t="inlineStr">
        <is>
          <t>Unread</t>
        </is>
      </c>
      <c r="L964" s="158" t="n">
        <v>46198.67014045139</v>
      </c>
      <c r="M964" s="154" t="inlineStr">
        <is>
          <t>6a3c13b8a4445333601657f5</t>
        </is>
      </c>
    </row>
    <row r="965">
      <c r="A965" s="154" t="inlineStr">
        <is>
          <t>Project Notos</t>
        </is>
      </c>
      <c r="B965" s="154" t="inlineStr">
        <is>
          <t>3.1.3.2.1</t>
        </is>
      </c>
      <c r="C965" s="155" t="inlineStr">
        <is>
          <t>JPK_V7M_202501_Dekl</t>
        </is>
      </c>
      <c r="D965" s="156" t="n"/>
      <c r="E965" s="156" t="n"/>
      <c r="F965" s="157">
        <f>HYPERLINK("https://app.global.datasite.com/webviewer/?projectId=696652ec0dc07cc02daa26a0&amp;documentId=6a3c13b8a4445333601657fd","JPK_V7M_202501_Dekl")</f>
        <v/>
      </c>
      <c r="G965" s="154" t="inlineStr">
        <is>
          <t>DOCUMENT</t>
        </is>
      </c>
      <c r="H965" s="154" t="inlineStr">
        <is>
          <t>pdf</t>
        </is>
      </c>
      <c r="I965" s="154" t="inlineStr">
        <is>
          <t>DOWNLOAD</t>
        </is>
      </c>
      <c r="J965" s="154" t="n">
        <v>0.42718505</v>
      </c>
      <c r="K965" s="154" t="inlineStr">
        <is>
          <t>Unread</t>
        </is>
      </c>
      <c r="L965" s="158" t="n">
        <v>46198.67014003472</v>
      </c>
      <c r="M965" s="154" t="inlineStr">
        <is>
          <t>6a3c13b8a4445333601657fd</t>
        </is>
      </c>
    </row>
    <row r="966">
      <c r="A966" s="154" t="inlineStr">
        <is>
          <t>Project Notos</t>
        </is>
      </c>
      <c r="B966" s="154" t="inlineStr">
        <is>
          <t>3.1.3.2.2</t>
        </is>
      </c>
      <c r="C966" s="155" t="inlineStr">
        <is>
          <t>JPK_V7M_202502_Dekl</t>
        </is>
      </c>
      <c r="D966" s="156" t="n"/>
      <c r="E966" s="156" t="n"/>
      <c r="F966" s="157">
        <f>HYPERLINK("https://app.global.datasite.com/webviewer/?projectId=696652ec0dc07cc02daa26a0&amp;documentId=6a3c13b8a4445333601657fe","JPK_V7M_202502_Dekl")</f>
        <v/>
      </c>
      <c r="G966" s="154" t="inlineStr">
        <is>
          <t>DOCUMENT</t>
        </is>
      </c>
      <c r="H966" s="154" t="inlineStr">
        <is>
          <t>pdf</t>
        </is>
      </c>
      <c r="I966" s="154" t="inlineStr">
        <is>
          <t>DOWNLOAD</t>
        </is>
      </c>
      <c r="J966" s="154" t="n">
        <v>0.42716407</v>
      </c>
      <c r="K966" s="154" t="inlineStr">
        <is>
          <t>Unread</t>
        </is>
      </c>
      <c r="L966" s="158" t="n">
        <v>46198.67014003472</v>
      </c>
      <c r="M966" s="154" t="inlineStr">
        <is>
          <t>6a3c13b8a4445333601657fe</t>
        </is>
      </c>
    </row>
    <row r="967" s="148">
      <c r="A967" s="154" t="inlineStr">
        <is>
          <t>Project Notos</t>
        </is>
      </c>
      <c r="B967" s="154" t="inlineStr">
        <is>
          <t>3.1.3.2.3</t>
        </is>
      </c>
      <c r="C967" s="155" t="inlineStr">
        <is>
          <t>JPK_V7M_202503_Dekl</t>
        </is>
      </c>
      <c r="D967" s="156" t="n"/>
      <c r="E967" s="156" t="n"/>
      <c r="F967" s="157">
        <f>HYPERLINK("https://app.global.datasite.com/webviewer/?projectId=696652ec0dc07cc02daa26a0&amp;documentId=6a3c13b8a4445333601657ff","JPK_V7M_202503_Dekl")</f>
        <v/>
      </c>
      <c r="G967" s="154" t="inlineStr">
        <is>
          <t>DOCUMENT</t>
        </is>
      </c>
      <c r="H967" s="154" t="inlineStr">
        <is>
          <t>pdf</t>
        </is>
      </c>
      <c r="I967" s="154" t="inlineStr">
        <is>
          <t>DOWNLOAD</t>
        </is>
      </c>
      <c r="J967" s="154" t="n">
        <v>0.42715549</v>
      </c>
      <c r="K967" s="154" t="inlineStr">
        <is>
          <t>Unread</t>
        </is>
      </c>
      <c r="L967" s="158" t="n">
        <v>46198.67014003472</v>
      </c>
      <c r="M967" s="154" t="inlineStr">
        <is>
          <t>6a3c13b8a4445333601657ff</t>
        </is>
      </c>
    </row>
    <row r="968">
      <c r="A968" s="154" t="inlineStr">
        <is>
          <t>Project Notos</t>
        </is>
      </c>
      <c r="B968" s="154" t="inlineStr">
        <is>
          <t>3.1.3.2.4</t>
        </is>
      </c>
      <c r="C968" s="155" t="inlineStr">
        <is>
          <t>JPK_V7M_202505_Dekl</t>
        </is>
      </c>
      <c r="D968" s="156" t="n"/>
      <c r="E968" s="156" t="n"/>
      <c r="F968" s="157">
        <f>HYPERLINK("https://app.global.datasite.com/webviewer/?projectId=696652ec0dc07cc02daa26a0&amp;documentId=6a3c13d1d068d307edad7a44","JPK_V7M_202505_Dekl")</f>
        <v/>
      </c>
      <c r="G968" s="154" t="inlineStr">
        <is>
          <t>DOCUMENT</t>
        </is>
      </c>
      <c r="H968" s="154" t="inlineStr">
        <is>
          <t>pdf</t>
        </is>
      </c>
      <c r="I968" s="154" t="inlineStr">
        <is>
          <t>DOWNLOAD</t>
        </is>
      </c>
      <c r="J968" s="154" t="n">
        <v>0.42716026</v>
      </c>
      <c r="K968" s="154" t="inlineStr">
        <is>
          <t>Unread</t>
        </is>
      </c>
      <c r="L968" s="158" t="n">
        <v>46198.67107167824</v>
      </c>
      <c r="M968" s="154" t="inlineStr">
        <is>
          <t>6a3c13d1d068d307edad7a44</t>
        </is>
      </c>
    </row>
    <row r="969">
      <c r="A969" s="154" t="inlineStr">
        <is>
          <t>Project Notos</t>
        </is>
      </c>
      <c r="B969" s="154" t="inlineStr">
        <is>
          <t>3.1.3.2.5</t>
        </is>
      </c>
      <c r="C969" s="155" t="inlineStr">
        <is>
          <t>JPK_V7M_202505_Kor1</t>
        </is>
      </c>
      <c r="D969" s="156" t="n"/>
      <c r="E969" s="156" t="n"/>
      <c r="F969" s="157">
        <f>HYPERLINK("https://app.global.datasite.com/webviewer/?projectId=696652ec0dc07cc02daa26a0&amp;documentId=6a3c13d1d068d307edad7a45","JPK_V7M_202505_Kor1")</f>
        <v/>
      </c>
      <c r="G969" s="154" t="inlineStr">
        <is>
          <t>DOCUMENT</t>
        </is>
      </c>
      <c r="H969" s="154" t="inlineStr">
        <is>
          <t>pdf</t>
        </is>
      </c>
      <c r="I969" s="154" t="inlineStr">
        <is>
          <t>DOWNLOAD</t>
        </is>
      </c>
      <c r="J969" s="154" t="n">
        <v>0.42756366</v>
      </c>
      <c r="K969" s="154" t="inlineStr">
        <is>
          <t>Unread</t>
        </is>
      </c>
      <c r="L969" s="158" t="n">
        <v>46198.67107167824</v>
      </c>
      <c r="M969" s="154" t="inlineStr">
        <is>
          <t>6a3c13d1d068d307edad7a45</t>
        </is>
      </c>
    </row>
    <row r="970">
      <c r="A970" s="154" t="inlineStr">
        <is>
          <t>Project Notos</t>
        </is>
      </c>
      <c r="B970" s="154" t="inlineStr">
        <is>
          <t>3.1.3.2.6</t>
        </is>
      </c>
      <c r="C970" s="155" t="inlineStr">
        <is>
          <t>JPK_V7M_202505_Kor2</t>
        </is>
      </c>
      <c r="D970" s="156" t="n"/>
      <c r="E970" s="156" t="n"/>
      <c r="F970" s="157">
        <f>HYPERLINK("https://app.global.datasite.com/webviewer/?projectId=696652ec0dc07cc02daa26a0&amp;documentId=6a3c13d1d068d307edad7a46","JPK_V7M_202505_Kor2")</f>
        <v/>
      </c>
      <c r="G970" s="154" t="inlineStr">
        <is>
          <t>DOCUMENT</t>
        </is>
      </c>
      <c r="H970" s="154" t="inlineStr">
        <is>
          <t>pdf</t>
        </is>
      </c>
      <c r="I970" s="154" t="inlineStr">
        <is>
          <t>DOWNLOAD</t>
        </is>
      </c>
      <c r="J970" s="154" t="n">
        <v>0.4269514</v>
      </c>
      <c r="K970" s="154" t="inlineStr">
        <is>
          <t>Unread</t>
        </is>
      </c>
      <c r="L970" s="158" t="n">
        <v>46198.67107167824</v>
      </c>
      <c r="M970" s="154" t="inlineStr">
        <is>
          <t>6a3c13d1d068d307edad7a46</t>
        </is>
      </c>
    </row>
    <row r="971">
      <c r="A971" s="154" t="inlineStr">
        <is>
          <t>Project Notos</t>
        </is>
      </c>
      <c r="B971" s="154" t="inlineStr">
        <is>
          <t>3.1.3.2.7</t>
        </is>
      </c>
      <c r="C971" s="155" t="inlineStr">
        <is>
          <t>JPK_V7M_202506_Dekl</t>
        </is>
      </c>
      <c r="D971" s="156" t="n"/>
      <c r="E971" s="156" t="n"/>
      <c r="F971" s="157">
        <f>HYPERLINK("https://app.global.datasite.com/webviewer/?projectId=696652ec0dc07cc02daa26a0&amp;documentId=6a3c13d1d068d307edad7a47","JPK_V7M_202506_Dekl")</f>
        <v/>
      </c>
      <c r="G971" s="154" t="inlineStr">
        <is>
          <t>DOCUMENT</t>
        </is>
      </c>
      <c r="H971" s="154" t="inlineStr">
        <is>
          <t>pdf</t>
        </is>
      </c>
      <c r="I971" s="154" t="inlineStr">
        <is>
          <t>DOWNLOAD</t>
        </is>
      </c>
      <c r="J971" s="154" t="n">
        <v>0.42717361</v>
      </c>
      <c r="K971" s="154" t="inlineStr">
        <is>
          <t>Unread</t>
        </is>
      </c>
      <c r="L971" s="158" t="n">
        <v>46198.67107167824</v>
      </c>
      <c r="M971" s="154" t="inlineStr">
        <is>
          <t>6a3c13d1d068d307edad7a47</t>
        </is>
      </c>
    </row>
    <row r="972">
      <c r="A972" s="154" t="inlineStr">
        <is>
          <t>Project Notos</t>
        </is>
      </c>
      <c r="B972" s="154" t="inlineStr">
        <is>
          <t>3.1.3.2.8</t>
        </is>
      </c>
      <c r="C972" s="155" t="inlineStr">
        <is>
          <t>JPK_V7M_202506_Kor1</t>
        </is>
      </c>
      <c r="D972" s="156" t="n"/>
      <c r="E972" s="156" t="n"/>
      <c r="F972" s="157">
        <f>HYPERLINK("https://app.global.datasite.com/webviewer/?projectId=696652ec0dc07cc02daa26a0&amp;documentId=6a3c13d1d068d307edad7a48","JPK_V7M_202506_Kor1")</f>
        <v/>
      </c>
      <c r="G972" s="154" t="inlineStr">
        <is>
          <t>DOCUMENT</t>
        </is>
      </c>
      <c r="H972" s="154" t="inlineStr">
        <is>
          <t>pdf</t>
        </is>
      </c>
      <c r="I972" s="154" t="inlineStr">
        <is>
          <t>DOWNLOAD</t>
        </is>
      </c>
      <c r="J972" s="154" t="n">
        <v>0.42808055</v>
      </c>
      <c r="K972" s="154" t="inlineStr">
        <is>
          <t>Unread</t>
        </is>
      </c>
      <c r="L972" s="158" t="n">
        <v>46198.67107167824</v>
      </c>
      <c r="M972" s="154" t="inlineStr">
        <is>
          <t>6a3c13d1d068d307edad7a48</t>
        </is>
      </c>
    </row>
    <row r="973" s="148">
      <c r="A973" s="154" t="inlineStr">
        <is>
          <t>Project Notos</t>
        </is>
      </c>
      <c r="B973" s="154" t="inlineStr">
        <is>
          <t>3.1.3.2.9</t>
        </is>
      </c>
      <c r="C973" s="155" t="inlineStr">
        <is>
          <t>JPK_V7M_202506_Kor2</t>
        </is>
      </c>
      <c r="D973" s="156" t="n"/>
      <c r="E973" s="156" t="n"/>
      <c r="F973" s="157">
        <f>HYPERLINK("https://app.global.datasite.com/webviewer/?projectId=696652ec0dc07cc02daa26a0&amp;documentId=6a3c13d1d068d307edad7a49","JPK_V7M_202506_Kor2")</f>
        <v/>
      </c>
      <c r="G973" s="154" t="inlineStr">
        <is>
          <t>DOCUMENT</t>
        </is>
      </c>
      <c r="H973" s="154" t="inlineStr">
        <is>
          <t>pdf</t>
        </is>
      </c>
      <c r="I973" s="154" t="inlineStr">
        <is>
          <t>DOWNLOAD</t>
        </is>
      </c>
      <c r="J973" s="154" t="n">
        <v>0.42998218</v>
      </c>
      <c r="K973" s="154" t="inlineStr">
        <is>
          <t>Unread</t>
        </is>
      </c>
      <c r="L973" s="158" t="n">
        <v>46198.67107167824</v>
      </c>
      <c r="M973" s="154" t="inlineStr">
        <is>
          <t>6a3c13d1d068d307edad7a49</t>
        </is>
      </c>
    </row>
    <row r="974">
      <c r="A974" s="154" t="inlineStr">
        <is>
          <t>Project Notos</t>
        </is>
      </c>
      <c r="B974" s="154" t="inlineStr">
        <is>
          <t>3.1.3.2.10</t>
        </is>
      </c>
      <c r="C974" s="155" t="inlineStr">
        <is>
          <t>JPK_V7M_202506_Kor3</t>
        </is>
      </c>
      <c r="D974" s="156" t="n"/>
      <c r="E974" s="156" t="n"/>
      <c r="F974" s="157">
        <f>HYPERLINK("https://app.global.datasite.com/webviewer/?projectId=696652ec0dc07cc02daa26a0&amp;documentId=6a3c13d1d068d307edad7a4a","JPK_V7M_202506_Kor3")</f>
        <v/>
      </c>
      <c r="G974" s="154" t="inlineStr">
        <is>
          <t>DOCUMENT</t>
        </is>
      </c>
      <c r="H974" s="154" t="inlineStr">
        <is>
          <t>pdf</t>
        </is>
      </c>
      <c r="I974" s="154" t="inlineStr">
        <is>
          <t>DOWNLOAD</t>
        </is>
      </c>
      <c r="J974" s="154" t="n">
        <v>0.42898559</v>
      </c>
      <c r="K974" s="154" t="inlineStr">
        <is>
          <t>Unread</t>
        </is>
      </c>
      <c r="L974" s="158" t="n">
        <v>46198.67107167824</v>
      </c>
      <c r="M974" s="154" t="inlineStr">
        <is>
          <t>6a3c13d1d068d307edad7a4a</t>
        </is>
      </c>
    </row>
    <row r="975">
      <c r="A975" s="154" t="inlineStr">
        <is>
          <t>Project Notos</t>
        </is>
      </c>
      <c r="B975" s="154" t="inlineStr">
        <is>
          <t>3.1.3.2.11</t>
        </is>
      </c>
      <c r="C975" s="155" t="inlineStr">
        <is>
          <t>JPK_V7M_202507_Dekl</t>
        </is>
      </c>
      <c r="D975" s="156" t="n"/>
      <c r="E975" s="156" t="n"/>
      <c r="F975" s="157">
        <f>HYPERLINK("https://app.global.datasite.com/webviewer/?projectId=696652ec0dc07cc02daa26a0&amp;documentId=6a3c13d1d068d307edad7a4b","JPK_V7M_202507_Dekl")</f>
        <v/>
      </c>
      <c r="G975" s="154" t="inlineStr">
        <is>
          <t>DOCUMENT</t>
        </is>
      </c>
      <c r="H975" s="154" t="inlineStr">
        <is>
          <t>pdf</t>
        </is>
      </c>
      <c r="I975" s="154" t="inlineStr">
        <is>
          <t>DOWNLOAD</t>
        </is>
      </c>
      <c r="J975" s="154" t="n">
        <v>0.42718505</v>
      </c>
      <c r="K975" s="154" t="inlineStr">
        <is>
          <t>Unread</t>
        </is>
      </c>
      <c r="L975" s="158" t="n">
        <v>46198.67107167824</v>
      </c>
      <c r="M975" s="154" t="inlineStr">
        <is>
          <t>6a3c13d1d068d307edad7a4b</t>
        </is>
      </c>
    </row>
    <row r="976">
      <c r="A976" s="154" t="inlineStr">
        <is>
          <t>Project Notos</t>
        </is>
      </c>
      <c r="B976" s="154" t="inlineStr">
        <is>
          <t>3.1.3.2.12</t>
        </is>
      </c>
      <c r="C976" s="155" t="inlineStr">
        <is>
          <t>JPK_V7M_202507_Kor1</t>
        </is>
      </c>
      <c r="D976" s="156" t="n"/>
      <c r="E976" s="156" t="n"/>
      <c r="F976" s="157">
        <f>HYPERLINK("https://app.global.datasite.com/webviewer/?projectId=696652ec0dc07cc02daa26a0&amp;documentId=6a3c13d1d068d307edad7a4c","JPK_V7M_202507_Kor1")</f>
        <v/>
      </c>
      <c r="G976" s="154" t="inlineStr">
        <is>
          <t>DOCUMENT</t>
        </is>
      </c>
      <c r="H976" s="154" t="inlineStr">
        <is>
          <t>pdf</t>
        </is>
      </c>
      <c r="I976" s="154" t="inlineStr">
        <is>
          <t>DOWNLOAD</t>
        </is>
      </c>
      <c r="J976" s="154" t="n">
        <v>0.42758941</v>
      </c>
      <c r="K976" s="154" t="inlineStr">
        <is>
          <t>Unread</t>
        </is>
      </c>
      <c r="L976" s="158" t="n">
        <v>46198.67107167824</v>
      </c>
      <c r="M976" s="154" t="inlineStr">
        <is>
          <t>6a3c13d1d068d307edad7a4c</t>
        </is>
      </c>
    </row>
    <row r="977" s="148">
      <c r="A977" s="154" t="inlineStr">
        <is>
          <t>Project Notos</t>
        </is>
      </c>
      <c r="B977" s="154" t="inlineStr">
        <is>
          <t>3.1.3.2.13</t>
        </is>
      </c>
      <c r="C977" s="155" t="inlineStr">
        <is>
          <t>JPK_V7M_202507_Kor2</t>
        </is>
      </c>
      <c r="D977" s="156" t="n"/>
      <c r="E977" s="156" t="n"/>
      <c r="F977" s="157">
        <f>HYPERLINK("https://app.global.datasite.com/webviewer/?projectId=696652ec0dc07cc02daa26a0&amp;documentId=6a3c13d1d068d307edad7a4d","JPK_V7M_202507_Kor2")</f>
        <v/>
      </c>
      <c r="G977" s="154" t="inlineStr">
        <is>
          <t>DOCUMENT</t>
        </is>
      </c>
      <c r="H977" s="154" t="inlineStr">
        <is>
          <t>pdf</t>
        </is>
      </c>
      <c r="I977" s="154" t="inlineStr">
        <is>
          <t>DOWNLOAD</t>
        </is>
      </c>
      <c r="J977" s="154" t="n">
        <v>0.42693519</v>
      </c>
      <c r="K977" s="154" t="inlineStr">
        <is>
          <t>Unread</t>
        </is>
      </c>
      <c r="L977" s="158" t="n">
        <v>46198.67107167824</v>
      </c>
      <c r="M977" s="154" t="inlineStr">
        <is>
          <t>6a3c13d1d068d307edad7a4d</t>
        </is>
      </c>
    </row>
    <row r="978" s="148">
      <c r="A978" s="154" t="inlineStr">
        <is>
          <t>Project Notos</t>
        </is>
      </c>
      <c r="B978" s="154" t="inlineStr">
        <is>
          <t>3.1.3.2.14</t>
        </is>
      </c>
      <c r="C978" s="155" t="inlineStr">
        <is>
          <t>JPK_V7M_202508_Dekl</t>
        </is>
      </c>
      <c r="D978" s="156" t="n"/>
      <c r="E978" s="156" t="n"/>
      <c r="F978" s="157">
        <f>HYPERLINK("https://app.global.datasite.com/webviewer/?projectId=696652ec0dc07cc02daa26a0&amp;documentId=6a3c13d1d068d307edad7a4e","JPK_V7M_202508_Dekl")</f>
        <v/>
      </c>
      <c r="G978" s="154" t="inlineStr">
        <is>
          <t>DOCUMENT</t>
        </is>
      </c>
      <c r="H978" s="154" t="inlineStr">
        <is>
          <t>pdf</t>
        </is>
      </c>
      <c r="I978" s="154" t="inlineStr">
        <is>
          <t>DOWNLOAD</t>
        </is>
      </c>
      <c r="J978" s="154" t="n">
        <v>0.42717742</v>
      </c>
      <c r="K978" s="154" t="inlineStr">
        <is>
          <t>Unread</t>
        </is>
      </c>
      <c r="L978" s="158" t="n">
        <v>46198.67107167824</v>
      </c>
      <c r="M978" s="154" t="inlineStr">
        <is>
          <t>6a3c13d1d068d307edad7a4e</t>
        </is>
      </c>
    </row>
    <row r="979">
      <c r="A979" s="154" t="inlineStr">
        <is>
          <t>Project Notos</t>
        </is>
      </c>
      <c r="B979" s="154" t="inlineStr">
        <is>
          <t>3.1.3.2.15</t>
        </is>
      </c>
      <c r="C979" s="155" t="inlineStr">
        <is>
          <t>JPK_V7M_202508_KOr1</t>
        </is>
      </c>
      <c r="D979" s="156" t="n"/>
      <c r="E979" s="156" t="n"/>
      <c r="F979" s="157">
        <f>HYPERLINK("https://app.global.datasite.com/webviewer/?projectId=696652ec0dc07cc02daa26a0&amp;documentId=6a3c13d1d068d307edad7a4f","JPK_V7M_202508_KOr1")</f>
        <v/>
      </c>
      <c r="G979" s="154" t="inlineStr">
        <is>
          <t>DOCUMENT</t>
        </is>
      </c>
      <c r="H979" s="154" t="inlineStr">
        <is>
          <t>pdf</t>
        </is>
      </c>
      <c r="I979" s="154" t="inlineStr">
        <is>
          <t>DOWNLOAD</t>
        </is>
      </c>
      <c r="J979" s="154" t="n">
        <v>0.42720603</v>
      </c>
      <c r="K979" s="154" t="inlineStr">
        <is>
          <t>Unread</t>
        </is>
      </c>
      <c r="L979" s="158" t="n">
        <v>46198.67107167824</v>
      </c>
      <c r="M979" s="154" t="inlineStr">
        <is>
          <t>6a3c13d1d068d307edad7a4f</t>
        </is>
      </c>
    </row>
    <row r="980">
      <c r="A980" s="154" t="inlineStr">
        <is>
          <t>Project Notos</t>
        </is>
      </c>
      <c r="B980" s="154" t="inlineStr">
        <is>
          <t>3.1.3.2.16</t>
        </is>
      </c>
      <c r="C980" s="155" t="inlineStr">
        <is>
          <t>JPK_V7M_202508_Kor2</t>
        </is>
      </c>
      <c r="D980" s="156" t="n"/>
      <c r="E980" s="156" t="n"/>
      <c r="F980" s="157">
        <f>HYPERLINK("https://app.global.datasite.com/webviewer/?projectId=696652ec0dc07cc02daa26a0&amp;documentId=6a3c13d1d068d307edad7a50","JPK_V7M_202508_Kor2")</f>
        <v/>
      </c>
      <c r="G980" s="154" t="inlineStr">
        <is>
          <t>DOCUMENT</t>
        </is>
      </c>
      <c r="H980" s="154" t="inlineStr">
        <is>
          <t>pdf</t>
        </is>
      </c>
      <c r="I980" s="154" t="inlineStr">
        <is>
          <t>DOWNLOAD</t>
        </is>
      </c>
      <c r="J980" s="154" t="n">
        <v>0.42734432</v>
      </c>
      <c r="K980" s="154" t="inlineStr">
        <is>
          <t>Unread</t>
        </is>
      </c>
      <c r="L980" s="158" t="n">
        <v>46198.67107167824</v>
      </c>
      <c r="M980" s="154" t="inlineStr">
        <is>
          <t>6a3c13d1d068d307edad7a50</t>
        </is>
      </c>
    </row>
    <row r="981">
      <c r="A981" s="154" t="inlineStr">
        <is>
          <t>Project Notos</t>
        </is>
      </c>
      <c r="B981" s="154" t="inlineStr">
        <is>
          <t>3.1.3.2.17</t>
        </is>
      </c>
      <c r="C981" s="155" t="inlineStr">
        <is>
          <t>JPK_V7M_202508_Kor3</t>
        </is>
      </c>
      <c r="D981" s="156" t="n"/>
      <c r="E981" s="156" t="n"/>
      <c r="F981" s="157">
        <f>HYPERLINK("https://app.global.datasite.com/webviewer/?projectId=696652ec0dc07cc02daa26a0&amp;documentId=6a3c13d1d068d307edad7a51","JPK_V7M_202508_Kor3")</f>
        <v/>
      </c>
      <c r="G981" s="154" t="inlineStr">
        <is>
          <t>DOCUMENT</t>
        </is>
      </c>
      <c r="H981" s="154" t="inlineStr">
        <is>
          <t>pdf</t>
        </is>
      </c>
      <c r="I981" s="154" t="inlineStr">
        <is>
          <t>DOWNLOAD</t>
        </is>
      </c>
      <c r="J981" s="154" t="n">
        <v>0.42621421</v>
      </c>
      <c r="K981" s="154" t="inlineStr">
        <is>
          <t>Unread</t>
        </is>
      </c>
      <c r="L981" s="158" t="n">
        <v>46198.67107167824</v>
      </c>
      <c r="M981" s="154" t="inlineStr">
        <is>
          <t>6a3c13d1d068d307edad7a51</t>
        </is>
      </c>
    </row>
    <row r="982">
      <c r="A982" s="154" t="inlineStr">
        <is>
          <t>Project Notos</t>
        </is>
      </c>
      <c r="B982" s="154" t="inlineStr">
        <is>
          <t>3.1.3.2.18</t>
        </is>
      </c>
      <c r="C982" s="155" t="inlineStr">
        <is>
          <t>JPK_V7M_202509_Dekl</t>
        </is>
      </c>
      <c r="D982" s="156" t="n"/>
      <c r="E982" s="156" t="n"/>
      <c r="F982" s="157">
        <f>HYPERLINK("https://app.global.datasite.com/webviewer/?projectId=696652ec0dc07cc02daa26a0&amp;documentId=6a3c13d1d068d307edad7a52","JPK_V7M_202509_Dekl")</f>
        <v/>
      </c>
      <c r="G982" s="154" t="inlineStr">
        <is>
          <t>DOCUMENT</t>
        </is>
      </c>
      <c r="H982" s="154" t="inlineStr">
        <is>
          <t>pdf</t>
        </is>
      </c>
      <c r="I982" s="154" t="inlineStr">
        <is>
          <t>DOWNLOAD</t>
        </is>
      </c>
      <c r="J982" s="154" t="n">
        <v>0.42729663</v>
      </c>
      <c r="K982" s="154" t="inlineStr">
        <is>
          <t>Unread</t>
        </is>
      </c>
      <c r="L982" s="158" t="n">
        <v>46198.67107167824</v>
      </c>
      <c r="M982" s="154" t="inlineStr">
        <is>
          <t>6a3c13d1d068d307edad7a52</t>
        </is>
      </c>
    </row>
    <row r="983">
      <c r="A983" s="154" t="inlineStr">
        <is>
          <t>Project Notos</t>
        </is>
      </c>
      <c r="B983" s="154" t="inlineStr">
        <is>
          <t>3.1.3.2.19</t>
        </is>
      </c>
      <c r="C983" s="155" t="inlineStr">
        <is>
          <t>JPK_V7M_202509_Kor1</t>
        </is>
      </c>
      <c r="D983" s="156" t="n"/>
      <c r="E983" s="156" t="n"/>
      <c r="F983" s="157">
        <f>HYPERLINK("https://app.global.datasite.com/webviewer/?projectId=696652ec0dc07cc02daa26a0&amp;documentId=6a3c13d1d068d307edad7a53","JPK_V7M_202509_Kor1")</f>
        <v/>
      </c>
      <c r="G983" s="154" t="inlineStr">
        <is>
          <t>DOCUMENT</t>
        </is>
      </c>
      <c r="H983" s="154" t="inlineStr">
        <is>
          <t>pdf</t>
        </is>
      </c>
      <c r="I983" s="154" t="inlineStr">
        <is>
          <t>DOWNLOAD</t>
        </is>
      </c>
      <c r="J983" s="154" t="n">
        <v>0.4269247</v>
      </c>
      <c r="K983" s="154" t="inlineStr">
        <is>
          <t>Unread</t>
        </is>
      </c>
      <c r="L983" s="158" t="n">
        <v>46198.67107167824</v>
      </c>
      <c r="M983" s="154" t="inlineStr">
        <is>
          <t>6a3c13d1d068d307edad7a53</t>
        </is>
      </c>
    </row>
    <row r="984">
      <c r="A984" s="154" t="inlineStr">
        <is>
          <t>Project Notos</t>
        </is>
      </c>
      <c r="B984" s="154" t="inlineStr">
        <is>
          <t>3.1.3.2.20</t>
        </is>
      </c>
      <c r="C984" s="155" t="inlineStr">
        <is>
          <t>JPK_V7M_202510_Dekl</t>
        </is>
      </c>
      <c r="D984" s="156" t="n"/>
      <c r="E984" s="156" t="n"/>
      <c r="F984" s="157">
        <f>HYPERLINK("https://app.global.datasite.com/webviewer/?projectId=696652ec0dc07cc02daa26a0&amp;documentId=6a3c13d1d068d307edad7a54","JPK_V7M_202510_Dekl")</f>
        <v/>
      </c>
      <c r="G984" s="154" t="inlineStr">
        <is>
          <t>DOCUMENT</t>
        </is>
      </c>
      <c r="H984" s="154" t="inlineStr">
        <is>
          <t>pdf</t>
        </is>
      </c>
      <c r="I984" s="154" t="inlineStr">
        <is>
          <t>DOWNLOAD</t>
        </is>
      </c>
      <c r="J984" s="154" t="n">
        <v>0.42727947</v>
      </c>
      <c r="K984" s="154" t="inlineStr">
        <is>
          <t>Unread</t>
        </is>
      </c>
      <c r="L984" s="158" t="n">
        <v>46198.67107167824</v>
      </c>
      <c r="M984" s="154" t="inlineStr">
        <is>
          <t>6a3c13d1d068d307edad7a54</t>
        </is>
      </c>
    </row>
    <row r="985">
      <c r="A985" s="154" t="inlineStr">
        <is>
          <t>Project Notos</t>
        </is>
      </c>
      <c r="B985" s="154" t="inlineStr">
        <is>
          <t>3.1.3.2.21</t>
        </is>
      </c>
      <c r="C985" s="155" t="inlineStr">
        <is>
          <t>JPK_V7M_202510_Kor1</t>
        </is>
      </c>
      <c r="D985" s="156" t="n"/>
      <c r="E985" s="156" t="n"/>
      <c r="F985" s="157">
        <f>HYPERLINK("https://app.global.datasite.com/webviewer/?projectId=696652ec0dc07cc02daa26a0&amp;documentId=6a3c13d1d068d307edad7a55","JPK_V7M_202510_Kor1")</f>
        <v/>
      </c>
      <c r="G985" s="154" t="inlineStr">
        <is>
          <t>DOCUMENT</t>
        </is>
      </c>
      <c r="H985" s="154" t="inlineStr">
        <is>
          <t>pdf</t>
        </is>
      </c>
      <c r="I985" s="154" t="inlineStr">
        <is>
          <t>DOWNLOAD</t>
        </is>
      </c>
      <c r="J985" s="154" t="n">
        <v>0.42685413</v>
      </c>
      <c r="K985" s="154" t="inlineStr">
        <is>
          <t>Unread</t>
        </is>
      </c>
      <c r="L985" s="158" t="n">
        <v>46198.67107167824</v>
      </c>
      <c r="M985" s="154" t="inlineStr">
        <is>
          <t>6a3c13d1d068d307edad7a55</t>
        </is>
      </c>
    </row>
    <row r="986">
      <c r="A986" s="154" t="inlineStr">
        <is>
          <t>Project Notos</t>
        </is>
      </c>
      <c r="B986" s="154" t="inlineStr">
        <is>
          <t>3.1.3.2.22</t>
        </is>
      </c>
      <c r="C986" s="155" t="inlineStr">
        <is>
          <t>JPK_V7M_202511_Dekl</t>
        </is>
      </c>
      <c r="D986" s="156" t="n"/>
      <c r="E986" s="156" t="n"/>
      <c r="F986" s="157">
        <f>HYPERLINK("https://app.global.datasite.com/webviewer/?projectId=696652ec0dc07cc02daa26a0&amp;documentId=6a3c13d1d068d307edad7a56","JPK_V7M_202511_Dekl")</f>
        <v/>
      </c>
      <c r="G986" s="154" t="inlineStr">
        <is>
          <t>DOCUMENT</t>
        </is>
      </c>
      <c r="H986" s="154" t="inlineStr">
        <is>
          <t>pdf</t>
        </is>
      </c>
      <c r="I986" s="154" t="inlineStr">
        <is>
          <t>DOWNLOAD</t>
        </is>
      </c>
      <c r="J986" s="154" t="n">
        <v>0.4261713</v>
      </c>
      <c r="K986" s="154" t="inlineStr">
        <is>
          <t>Unread</t>
        </is>
      </c>
      <c r="L986" s="158" t="n">
        <v>46198.67107167824</v>
      </c>
      <c r="M986" s="154" t="inlineStr">
        <is>
          <t>6a3c13d1d068d307edad7a56</t>
        </is>
      </c>
    </row>
    <row r="987">
      <c r="A987" s="154" t="inlineStr">
        <is>
          <t>Project Notos</t>
        </is>
      </c>
      <c r="B987" s="154" t="inlineStr">
        <is>
          <t>3.1.3.2.23</t>
        </is>
      </c>
      <c r="C987" s="155" t="inlineStr">
        <is>
          <t>JPK_V7M_202511_Kor1</t>
        </is>
      </c>
      <c r="D987" s="156" t="n"/>
      <c r="E987" s="156" t="n"/>
      <c r="F987" s="157">
        <f>HYPERLINK("https://app.global.datasite.com/webviewer/?projectId=696652ec0dc07cc02daa26a0&amp;documentId=6a3c13d1d068d307edad7a57","JPK_V7M_202511_Kor1")</f>
        <v/>
      </c>
      <c r="G987" s="154" t="inlineStr">
        <is>
          <t>DOCUMENT</t>
        </is>
      </c>
      <c r="H987" s="154" t="inlineStr">
        <is>
          <t>pdf</t>
        </is>
      </c>
      <c r="I987" s="154" t="inlineStr">
        <is>
          <t>DOWNLOAD</t>
        </is>
      </c>
      <c r="J987" s="154" t="n">
        <v>0.42682552</v>
      </c>
      <c r="K987" s="154" t="inlineStr">
        <is>
          <t>Unread</t>
        </is>
      </c>
      <c r="L987" s="158" t="n">
        <v>46198.67107167824</v>
      </c>
      <c r="M987" s="154" t="inlineStr">
        <is>
          <t>6a3c13d1d068d307edad7a57</t>
        </is>
      </c>
    </row>
    <row r="988">
      <c r="A988" s="154" t="inlineStr">
        <is>
          <t>Project Notos</t>
        </is>
      </c>
      <c r="B988" s="154" t="inlineStr">
        <is>
          <t>3.1.3.2.24</t>
        </is>
      </c>
      <c r="C988" s="155" t="inlineStr">
        <is>
          <t>JPK_V7M_202511_Kor2</t>
        </is>
      </c>
      <c r="D988" s="156" t="n"/>
      <c r="E988" s="156" t="n"/>
      <c r="F988" s="157">
        <f>HYPERLINK("https://app.global.datasite.com/webviewer/?projectId=696652ec0dc07cc02daa26a0&amp;documentId=6a3c13d1d068d307edad7a58","JPK_V7M_202511_Kor2")</f>
        <v/>
      </c>
      <c r="G988" s="154" t="inlineStr">
        <is>
          <t>DOCUMENT</t>
        </is>
      </c>
      <c r="H988" s="154" t="inlineStr">
        <is>
          <t>pdf</t>
        </is>
      </c>
      <c r="I988" s="154" t="inlineStr">
        <is>
          <t>DOWNLOAD</t>
        </is>
      </c>
      <c r="J988" s="154" t="n">
        <v>0.42695713</v>
      </c>
      <c r="K988" s="154" t="inlineStr">
        <is>
          <t>Unread</t>
        </is>
      </c>
      <c r="L988" s="158" t="n">
        <v>46198.67107167824</v>
      </c>
      <c r="M988" s="154" t="inlineStr">
        <is>
          <t>6a3c13d1d068d307edad7a58</t>
        </is>
      </c>
    </row>
    <row r="989">
      <c r="A989" s="154" t="inlineStr">
        <is>
          <t>Project Notos</t>
        </is>
      </c>
      <c r="B989" s="154" t="inlineStr">
        <is>
          <t>3.1.3.2.25</t>
        </is>
      </c>
      <c r="C989" s="155" t="inlineStr">
        <is>
          <t>JPK_V7M_202512_Dekl</t>
        </is>
      </c>
      <c r="D989" s="156" t="n"/>
      <c r="E989" s="156" t="n"/>
      <c r="F989" s="157">
        <f>HYPERLINK("https://app.global.datasite.com/webviewer/?projectId=696652ec0dc07cc02daa26a0&amp;documentId=6a3c13d1d068d307edad7a59","JPK_V7M_202512_Dekl")</f>
        <v/>
      </c>
      <c r="G989" s="154" t="inlineStr">
        <is>
          <t>DOCUMENT</t>
        </is>
      </c>
      <c r="H989" s="154" t="inlineStr">
        <is>
          <t>pdf</t>
        </is>
      </c>
      <c r="I989" s="154" t="inlineStr">
        <is>
          <t>DOWNLOAD</t>
        </is>
      </c>
      <c r="J989" s="154" t="n">
        <v>0.22180175</v>
      </c>
      <c r="K989" s="154" t="inlineStr">
        <is>
          <t>Unread</t>
        </is>
      </c>
      <c r="L989" s="158" t="n">
        <v>46198.67107167824</v>
      </c>
      <c r="M989" s="154" t="inlineStr">
        <is>
          <t>6a3c13d1d068d307edad7a59</t>
        </is>
      </c>
    </row>
    <row r="990">
      <c r="A990" s="154" t="inlineStr">
        <is>
          <t>Project Notos</t>
        </is>
      </c>
      <c r="B990" s="154" t="inlineStr">
        <is>
          <t>3.1.3.2.26</t>
        </is>
      </c>
      <c r="C990" s="155" t="inlineStr">
        <is>
          <t>JPK_V7M_202512_Kor1</t>
        </is>
      </c>
      <c r="D990" s="156" t="n"/>
      <c r="E990" s="156" t="n"/>
      <c r="F990" s="157">
        <f>HYPERLINK("https://app.global.datasite.com/webviewer/?projectId=696652ec0dc07cc02daa26a0&amp;documentId=6a3c13d1d068d307edad7a5a","JPK_V7M_202512_Kor1")</f>
        <v/>
      </c>
      <c r="G990" s="154" t="inlineStr">
        <is>
          <t>DOCUMENT</t>
        </is>
      </c>
      <c r="H990" s="154" t="inlineStr">
        <is>
          <t>pdf</t>
        </is>
      </c>
      <c r="I990" s="154" t="inlineStr">
        <is>
          <t>DOWNLOAD</t>
        </is>
      </c>
      <c r="J990" s="154" t="n">
        <v>0.42618465</v>
      </c>
      <c r="K990" s="154" t="inlineStr">
        <is>
          <t>Unread</t>
        </is>
      </c>
      <c r="L990" s="158" t="n">
        <v>46198.67107167824</v>
      </c>
      <c r="M990" s="154" t="inlineStr">
        <is>
          <t>6a3c13d1d068d307edad7a5a</t>
        </is>
      </c>
    </row>
    <row r="991">
      <c r="A991" s="154" t="inlineStr">
        <is>
          <t>Project Notos</t>
        </is>
      </c>
      <c r="B991" s="154" t="inlineStr">
        <is>
          <t>3.1.3.3</t>
        </is>
      </c>
      <c r="C991" s="155" t="inlineStr">
        <is>
          <t>VAT testing</t>
        </is>
      </c>
      <c r="D991" s="156" t="n"/>
      <c r="E991" s="156" t="n"/>
      <c r="F991" s="157">
        <f>HYPERLINK("https://app.global.datasite.com/webviewer/?projectId=696652ec0dc07cc02daa26a0&amp;documentId=6a3c31f7a73fcd832d775067","VAT testing")</f>
        <v/>
      </c>
      <c r="G991" s="154" t="inlineStr">
        <is>
          <t>DOCUMENT</t>
        </is>
      </c>
      <c r="H991" s="154" t="inlineStr">
        <is>
          <t>xlsm</t>
        </is>
      </c>
      <c r="I991" s="154" t="inlineStr">
        <is>
          <t>DOWNLOAD</t>
        </is>
      </c>
      <c r="J991" s="154" t="n">
        <v>0.01080226</v>
      </c>
      <c r="K991" s="154" t="inlineStr">
        <is>
          <t>Unread</t>
        </is>
      </c>
      <c r="L991" s="158" t="n">
        <v>46198.67148875</v>
      </c>
      <c r="M991" s="154" t="inlineStr">
        <is>
          <t>6a3c31f7a73fcd832d775067</t>
        </is>
      </c>
    </row>
    <row r="992">
      <c r="A992" s="149" t="inlineStr">
        <is>
          <t>Project Notos</t>
        </is>
      </c>
      <c r="B992" s="149" t="inlineStr">
        <is>
          <t>3.1.4</t>
        </is>
      </c>
      <c r="C992" s="17" t="inlineStr">
        <is>
          <t>TLCF</t>
        </is>
      </c>
      <c r="D992" s="25" t="n"/>
      <c r="F992" s="150">
        <f>HYPERLINK("https://app.global.datasite.com/platform/container/696652ec0dc07cc02daa26a0/documents/content/index/69e1e223dd2684b9331b0a58","TLCF")</f>
        <v/>
      </c>
      <c r="G992" s="149" t="inlineStr">
        <is>
          <t>FOLDER</t>
        </is>
      </c>
      <c r="H992" s="149" t="n"/>
      <c r="I992" s="149" t="inlineStr">
        <is>
          <t>DOWNLOAD</t>
        </is>
      </c>
      <c r="J992" s="149" t="n"/>
      <c r="K992" s="149" t="inlineStr">
        <is>
          <t>Unread</t>
        </is>
      </c>
      <c r="L992" s="152" t="n">
        <v>46176.92764111111</v>
      </c>
      <c r="M992" s="149" t="inlineStr">
        <is>
          <t>69e1e223dd2684b9331b0a58</t>
        </is>
      </c>
    </row>
    <row r="993">
      <c r="A993" t="inlineStr">
        <is>
          <t>Project Notos</t>
        </is>
      </c>
      <c r="B993" t="inlineStr">
        <is>
          <t>3.1.4.1</t>
        </is>
      </c>
      <c r="C993" s="15" t="inlineStr">
        <is>
          <t>LUX Cummulated tax losses 2020-2024</t>
        </is>
      </c>
      <c r="D993" s="20" t="inlineStr">
        <is>
          <t>Out-of-Scope</t>
        </is>
      </c>
      <c r="F993" s="151">
        <f>HYPERLINK("https://app.global.datasite.com/webviewer/?projectId=696652ec0dc07cc02daa26a0&amp;documentId=69e1f952c6d303b1b899e6c2","LUX Cummulated tax losses 2020-2024")</f>
        <v/>
      </c>
      <c r="G993" t="inlineStr">
        <is>
          <t>DOCUMENT</t>
        </is>
      </c>
      <c r="H993" t="inlineStr">
        <is>
          <t>pdf</t>
        </is>
      </c>
      <c r="I993" t="inlineStr">
        <is>
          <t>DOWNLOAD</t>
        </is>
      </c>
      <c r="J993" t="n">
        <v>0.04116725</v>
      </c>
      <c r="K993" t="inlineStr">
        <is>
          <t>Unread</t>
        </is>
      </c>
      <c r="L993" s="153" t="n">
        <v>46176.92764111111</v>
      </c>
      <c r="M993" t="inlineStr">
        <is>
          <t>69e1f952c6d303b1b899e6c2</t>
        </is>
      </c>
    </row>
    <row r="994">
      <c r="A994" s="149" t="inlineStr">
        <is>
          <t>Project Notos</t>
        </is>
      </c>
      <c r="B994" s="149" t="inlineStr">
        <is>
          <t>3.1.5</t>
        </is>
      </c>
      <c r="C994" s="17" t="inlineStr">
        <is>
          <t>Tax audits</t>
        </is>
      </c>
      <c r="D994" s="25" t="n"/>
      <c r="F994" s="150">
        <f>HYPERLINK("https://app.global.datasite.com/platform/container/696652ec0dc07cc02daa26a0/documents/content/index/69e1e223dd2684b9331b0a59","Tax audits")</f>
        <v/>
      </c>
      <c r="G994" s="149" t="inlineStr">
        <is>
          <t>FOLDER</t>
        </is>
      </c>
      <c r="H994" s="149" t="n"/>
      <c r="I994" s="149" t="inlineStr">
        <is>
          <t>DOWNLOAD</t>
        </is>
      </c>
      <c r="J994" s="149" t="n"/>
      <c r="K994" s="149" t="inlineStr">
        <is>
          <t>Unread</t>
        </is>
      </c>
      <c r="L994" s="152" t="n">
        <v>46176.92764111111</v>
      </c>
      <c r="M994" s="149" t="inlineStr">
        <is>
          <t>69e1e223dd2684b9331b0a59</t>
        </is>
      </c>
    </row>
    <row r="995">
      <c r="A995" t="inlineStr">
        <is>
          <t>Project Notos</t>
        </is>
      </c>
      <c r="B995" t="inlineStr">
        <is>
          <t>3.1.5.1</t>
        </is>
      </c>
      <c r="C995" s="15" t="inlineStr">
        <is>
          <t>Letter from administration _ open VAT amounts</t>
        </is>
      </c>
      <c r="D995" s="20" t="inlineStr">
        <is>
          <t>Out-of-Scope</t>
        </is>
      </c>
      <c r="F995" s="151">
        <f>HYPERLINK("https://app.global.datasite.com/webviewer/?projectId=696652ec0dc07cc02daa26a0&amp;documentId=69e1fa50c2c22a635ff971a5","Letter from administration _ open VAT amounts")</f>
        <v/>
      </c>
      <c r="G995" t="inlineStr">
        <is>
          <t>DOCUMENT</t>
        </is>
      </c>
      <c r="H995" t="inlineStr">
        <is>
          <t>pdf</t>
        </is>
      </c>
      <c r="I995" t="inlineStr">
        <is>
          <t>DOWNLOAD</t>
        </is>
      </c>
      <c r="J995" t="n">
        <v>1.92650699</v>
      </c>
      <c r="K995" t="inlineStr">
        <is>
          <t>Unread</t>
        </is>
      </c>
      <c r="L995" s="153" t="n">
        <v>46176.92764111111</v>
      </c>
      <c r="M995" t="inlineStr">
        <is>
          <t>69e1fa50c2c22a635ff971a5</t>
        </is>
      </c>
    </row>
    <row r="996">
      <c r="A996" t="inlineStr">
        <is>
          <t>Project Notos</t>
        </is>
      </c>
      <c r="B996" t="inlineStr">
        <is>
          <t>3.1.5.2</t>
        </is>
      </c>
      <c r="C996" s="15" t="inlineStr">
        <is>
          <t>Refund LU of the years 2022-2023</t>
        </is>
      </c>
      <c r="D996" s="20" t="inlineStr">
        <is>
          <t>Out-of-Scope</t>
        </is>
      </c>
      <c r="F996" s="151">
        <f>HYPERLINK("https://app.global.datasite.com/webviewer/?projectId=696652ec0dc07cc02daa26a0&amp;documentId=69e1fa50c2c22a635ff971a6","Refund LU of the years 2022-2023")</f>
        <v/>
      </c>
      <c r="G996" t="inlineStr">
        <is>
          <t>DOCUMENT</t>
        </is>
      </c>
      <c r="H996" t="inlineStr">
        <is>
          <t>msg</t>
        </is>
      </c>
      <c r="I996" t="inlineStr">
        <is>
          <t>DOWNLOAD</t>
        </is>
      </c>
      <c r="J996" t="n">
        <v>0.0805664</v>
      </c>
      <c r="K996" t="inlineStr">
        <is>
          <t>Unread</t>
        </is>
      </c>
      <c r="L996" s="153" t="n">
        <v>46176.92764111111</v>
      </c>
      <c r="M996" t="inlineStr">
        <is>
          <t>69e1fa50c2c22a635ff971a6</t>
        </is>
      </c>
    </row>
    <row r="997">
      <c r="A997" t="inlineStr">
        <is>
          <t>Project Notos</t>
        </is>
      </c>
      <c r="B997" t="inlineStr">
        <is>
          <t>3.1.5.3</t>
        </is>
      </c>
      <c r="C997" s="15" t="inlineStr">
        <is>
          <t>Y2022 Estra filed return 20231222</t>
        </is>
      </c>
      <c r="D997" s="20" t="inlineStr">
        <is>
          <t>Out-of-Scope</t>
        </is>
      </c>
      <c r="F997" s="151">
        <f>HYPERLINK("https://app.global.datasite.com/webviewer/?projectId=696652ec0dc07cc02daa26a0&amp;documentId=69e1fa50c2c22a635ff971a7","Y2022 Estra filed return 20231222")</f>
        <v/>
      </c>
      <c r="G997" t="inlineStr">
        <is>
          <t>DOCUMENT</t>
        </is>
      </c>
      <c r="H997" t="inlineStr">
        <is>
          <t>pdf</t>
        </is>
      </c>
      <c r="I997" t="inlineStr">
        <is>
          <t>DOWNLOAD</t>
        </is>
      </c>
      <c r="J997" t="n">
        <v>0.4470787</v>
      </c>
      <c r="K997" t="inlineStr">
        <is>
          <t>Unread</t>
        </is>
      </c>
      <c r="L997" s="153" t="n">
        <v>46176.92764111111</v>
      </c>
      <c r="M997" t="inlineStr">
        <is>
          <t>69e1fa50c2c22a635ff971a7</t>
        </is>
      </c>
    </row>
    <row r="998">
      <c r="A998" s="149" t="inlineStr">
        <is>
          <t>Project Notos</t>
        </is>
      </c>
      <c r="B998" s="149" t="inlineStr">
        <is>
          <t>3.1.6</t>
        </is>
      </c>
      <c r="C998" s="17" t="inlineStr">
        <is>
          <t>Other</t>
        </is>
      </c>
      <c r="D998" s="25" t="n"/>
      <c r="F998" s="150">
        <f>HYPERLINK("https://app.global.datasite.com/platform/container/696652ec0dc07cc02daa26a0/documents/content/index/69e1e223dd2684b9331b0a5d","Other")</f>
        <v/>
      </c>
      <c r="G998" s="149" t="inlineStr">
        <is>
          <t>FOLDER</t>
        </is>
      </c>
      <c r="H998" s="149" t="n"/>
      <c r="I998" s="149" t="inlineStr">
        <is>
          <t>DOWNLOAD</t>
        </is>
      </c>
      <c r="J998" s="149" t="n"/>
      <c r="K998" s="149" t="inlineStr">
        <is>
          <t>Unread</t>
        </is>
      </c>
      <c r="L998" s="152" t="n">
        <v>46176.92764111111</v>
      </c>
      <c r="M998" s="149" t="inlineStr">
        <is>
          <t>69e1e223dd2684b9331b0a5d</t>
        </is>
      </c>
    </row>
    <row r="999">
      <c r="A999" s="149" t="inlineStr">
        <is>
          <t>Project Notos</t>
        </is>
      </c>
      <c r="B999" s="149" t="inlineStr">
        <is>
          <t>3.1.6.1</t>
        </is>
      </c>
      <c r="C999" s="17" t="inlineStr">
        <is>
          <t>Freelancer</t>
        </is>
      </c>
      <c r="D999" s="25" t="n"/>
      <c r="F999" s="150">
        <f>HYPERLINK("https://app.global.datasite.com/platform/container/696652ec0dc07cc02daa26a0/documents/content/index/69e1e223dd2684b9331b0a5f","Freelancer")</f>
        <v/>
      </c>
      <c r="G999" s="149" t="inlineStr">
        <is>
          <t>FOLDER</t>
        </is>
      </c>
      <c r="H999" s="149" t="n"/>
      <c r="I999" s="149" t="inlineStr">
        <is>
          <t>DOWNLOAD</t>
        </is>
      </c>
      <c r="J999" s="149" t="n"/>
      <c r="K999" s="149" t="inlineStr">
        <is>
          <t>Unread</t>
        </is>
      </c>
      <c r="L999" s="152" t="n">
        <v>46176.92764111111</v>
      </c>
      <c r="M999" s="149" t="inlineStr">
        <is>
          <t>69e1e223dd2684b9331b0a5f</t>
        </is>
      </c>
    </row>
    <row r="1000">
      <c r="A1000" t="inlineStr">
        <is>
          <t>Project Notos</t>
        </is>
      </c>
      <c r="B1000" t="inlineStr">
        <is>
          <t>3.1.6.1.1</t>
        </is>
      </c>
      <c r="C1000" s="15" t="inlineStr">
        <is>
          <t>Lux Frelancers' contracts</t>
        </is>
      </c>
      <c r="D1000" s="20" t="inlineStr">
        <is>
          <t>Out-of-Scope</t>
        </is>
      </c>
      <c r="F1000" s="151">
        <f>HYPERLINK("https://app.global.datasite.com/webviewer/?projectId=696652ec0dc07cc02daa26a0&amp;documentId=69ea129ce09016073d33ef5d","Lux Frelancers' contracts")</f>
        <v/>
      </c>
      <c r="G1000" t="inlineStr">
        <is>
          <t>DOCUMENT</t>
        </is>
      </c>
      <c r="H1000" t="inlineStr">
        <is>
          <t>xlsm</t>
        </is>
      </c>
      <c r="I1000" t="inlineStr">
        <is>
          <t>DOWNLOAD</t>
        </is>
      </c>
      <c r="J1000" t="n">
        <v>0.01285362</v>
      </c>
      <c r="K1000" t="inlineStr">
        <is>
          <t>Unread</t>
        </is>
      </c>
      <c r="L1000" s="153" t="n">
        <v>46176.92764111111</v>
      </c>
      <c r="M1000" t="inlineStr">
        <is>
          <t>69ea129ce09016073d33ef5d</t>
        </is>
      </c>
    </row>
    <row r="1001">
      <c r="A1001" s="149" t="inlineStr">
        <is>
          <t>Project Notos</t>
        </is>
      </c>
      <c r="B1001" s="149" t="inlineStr">
        <is>
          <t>3.1.7</t>
        </is>
      </c>
      <c r="C1001" s="17" t="inlineStr">
        <is>
          <t>Polish branch office</t>
        </is>
      </c>
      <c r="D1001" s="25" t="n"/>
      <c r="F1001" s="150">
        <f>HYPERLINK("https://app.global.datasite.com/platform/container/696652ec0dc07cc02daa26a0/documents/content/index/69e1f5326ad336ec827e4258","Polish branch office")</f>
        <v/>
      </c>
      <c r="G1001" s="149" t="inlineStr">
        <is>
          <t>FOLDER</t>
        </is>
      </c>
      <c r="H1001" s="149" t="n"/>
      <c r="I1001" s="149" t="inlineStr">
        <is>
          <t>DOWNLOAD</t>
        </is>
      </c>
      <c r="J1001" s="149" t="n"/>
      <c r="K1001" s="149" t="inlineStr">
        <is>
          <t>Unread</t>
        </is>
      </c>
      <c r="L1001" s="152" t="n">
        <v>46176.92764111111</v>
      </c>
      <c r="M1001" s="149" t="inlineStr">
        <is>
          <t>69e1f5326ad336ec827e4258</t>
        </is>
      </c>
    </row>
    <row r="1002">
      <c r="A1002" s="149" t="inlineStr">
        <is>
          <t>Project Notos</t>
        </is>
      </c>
      <c r="B1002" s="149" t="inlineStr">
        <is>
          <t>3.1.7.1</t>
        </is>
      </c>
      <c r="C1002" s="17" t="inlineStr">
        <is>
          <t>Transfer pricing</t>
        </is>
      </c>
      <c r="D1002" s="25" t="n"/>
      <c r="F1002" s="150">
        <f>HYPERLINK("https://app.global.datasite.com/platform/container/696652ec0dc07cc02daa26a0/documents/content/index/69e1f5f461acfd443be25648","Transfer pricing")</f>
        <v/>
      </c>
      <c r="G1002" s="149" t="inlineStr">
        <is>
          <t>FOLDER</t>
        </is>
      </c>
      <c r="H1002" s="149" t="n"/>
      <c r="I1002" s="149" t="inlineStr">
        <is>
          <t>DOWNLOAD</t>
        </is>
      </c>
      <c r="J1002" s="149" t="n"/>
      <c r="K1002" s="149" t="inlineStr">
        <is>
          <t>Unread</t>
        </is>
      </c>
      <c r="L1002" s="152" t="n">
        <v>46176.92764111111</v>
      </c>
      <c r="M1002" s="149" t="inlineStr">
        <is>
          <t>69e1f5f461acfd443be25648</t>
        </is>
      </c>
    </row>
    <row r="1003">
      <c r="A1003" s="149" t="inlineStr">
        <is>
          <t>Project Notos</t>
        </is>
      </c>
      <c r="B1003" s="149" t="inlineStr">
        <is>
          <t>3.1.7.1.1</t>
        </is>
      </c>
      <c r="C1003" s="17" t="inlineStr">
        <is>
          <t>LF 2023 final</t>
        </is>
      </c>
      <c r="D1003" s="25" t="n"/>
      <c r="F1003" s="150">
        <f>HYPERLINK("https://app.global.datasite.com/platform/container/696652ec0dc07cc02daa26a0/documents/content/index/69e1f609dd9d275831113bbc","LF 2023 final")</f>
        <v/>
      </c>
      <c r="G1003" s="149" t="inlineStr">
        <is>
          <t>FOLDER</t>
        </is>
      </c>
      <c r="H1003" s="149" t="n"/>
      <c r="I1003" s="149" t="inlineStr">
        <is>
          <t>DOWNLOAD</t>
        </is>
      </c>
      <c r="J1003" s="149" t="n"/>
      <c r="K1003" s="149" t="inlineStr">
        <is>
          <t>Unread</t>
        </is>
      </c>
      <c r="L1003" s="152" t="n">
        <v>46176.92764111111</v>
      </c>
      <c r="M1003" s="149" t="inlineStr">
        <is>
          <t>69e1f609dd9d275831113bbc</t>
        </is>
      </c>
    </row>
    <row r="1004">
      <c r="A1004" t="inlineStr">
        <is>
          <t>Project Notos</t>
        </is>
      </c>
      <c r="B1004" t="inlineStr">
        <is>
          <t>3.1.7.1.1.1</t>
        </is>
      </c>
      <c r="C1004" s="15" t="inlineStr">
        <is>
          <t>Estra_Local File_2023_ z dodatkowymi transakcjami_wersja finalna</t>
        </is>
      </c>
      <c r="D1004" s="20" t="inlineStr">
        <is>
          <t>Out-of-Scope</t>
        </is>
      </c>
      <c r="F1004" s="151">
        <f>HYPERLINK("https://app.global.datasite.com/webviewer/?projectId=696652ec0dc07cc02daa26a0&amp;documentId=69e1f609dd9d275831113bc2","Estra_Local File_2023_ z dodatkowymi transakcjami_wersja finalna")</f>
        <v/>
      </c>
      <c r="G1004" t="inlineStr">
        <is>
          <t>DOCUMENT</t>
        </is>
      </c>
      <c r="H1004" t="inlineStr">
        <is>
          <t>pdf</t>
        </is>
      </c>
      <c r="I1004" t="inlineStr">
        <is>
          <t>DOWNLOAD</t>
        </is>
      </c>
      <c r="J1004" t="n">
        <v>0.62765693</v>
      </c>
      <c r="K1004" t="inlineStr">
        <is>
          <t>Unread</t>
        </is>
      </c>
      <c r="L1004" s="153" t="n">
        <v>46176.92764111111</v>
      </c>
      <c r="M1004" t="inlineStr">
        <is>
          <t>69e1f609dd9d275831113bc2</t>
        </is>
      </c>
    </row>
    <row r="1005">
      <c r="A1005" s="149" t="inlineStr">
        <is>
          <t>Project Notos</t>
        </is>
      </c>
      <c r="B1005" s="149" t="inlineStr">
        <is>
          <t>3.1.7.1.2</t>
        </is>
      </c>
      <c r="C1005" s="17" t="inlineStr">
        <is>
          <t>LF 2024 final</t>
        </is>
      </c>
      <c r="D1005" s="25" t="n"/>
      <c r="F1005" s="150">
        <f>HYPERLINK("https://app.global.datasite.com/platform/container/696652ec0dc07cc02daa26a0/documents/content/index/69e1f60961acfd443be25656","LF 2024 final")</f>
        <v/>
      </c>
      <c r="G1005" s="149" t="inlineStr">
        <is>
          <t>FOLDER</t>
        </is>
      </c>
      <c r="H1005" s="149" t="n"/>
      <c r="I1005" s="149" t="inlineStr">
        <is>
          <t>DOWNLOAD</t>
        </is>
      </c>
      <c r="J1005" s="149" t="n"/>
      <c r="K1005" s="149" t="inlineStr">
        <is>
          <t>Unread</t>
        </is>
      </c>
      <c r="L1005" s="152" t="n">
        <v>46176.92764111111</v>
      </c>
      <c r="M1005" s="149" t="inlineStr">
        <is>
          <t>69e1f60961acfd443be25656</t>
        </is>
      </c>
    </row>
    <row r="1006">
      <c r="A1006" s="149" t="inlineStr">
        <is>
          <t>Project Notos</t>
        </is>
      </c>
      <c r="B1006" s="149" t="inlineStr">
        <is>
          <t>3.1.7.1.2.1</t>
        </is>
      </c>
      <c r="C1006" s="17" t="inlineStr">
        <is>
          <t>2024</t>
        </is>
      </c>
      <c r="D1006" s="25" t="n"/>
      <c r="F1006" s="150">
        <f>HYPERLINK("https://app.global.datasite.com/platform/container/696652ec0dc07cc02daa26a0/documents/content/index/69e1f60961acfd443be25657","2024")</f>
        <v/>
      </c>
      <c r="G1006" s="149" t="inlineStr">
        <is>
          <t>FOLDER</t>
        </is>
      </c>
      <c r="H1006" s="149" t="n"/>
      <c r="I1006" s="149" t="inlineStr">
        <is>
          <t>DOWNLOAD</t>
        </is>
      </c>
      <c r="J1006" s="149" t="n"/>
      <c r="K1006" s="149" t="inlineStr">
        <is>
          <t>Unread</t>
        </is>
      </c>
      <c r="L1006" s="152" t="n">
        <v>46176.92764111111</v>
      </c>
      <c r="M1006" s="149" t="inlineStr">
        <is>
          <t>69e1f60961acfd443be25657</t>
        </is>
      </c>
    </row>
    <row r="1007">
      <c r="A1007" t="inlineStr">
        <is>
          <t>Project Notos</t>
        </is>
      </c>
      <c r="B1007" t="inlineStr">
        <is>
          <t>3.1.7.1.2.1.1</t>
        </is>
      </c>
      <c r="C1007" s="15" t="inlineStr">
        <is>
          <t>Estra_Local File_2024 final</t>
        </is>
      </c>
      <c r="D1007" s="20" t="inlineStr">
        <is>
          <t>Out-of-Scope</t>
        </is>
      </c>
      <c r="F1007" s="151">
        <f>HYPERLINK("https://app.global.datasite.com/webviewer/?projectId=696652ec0dc07cc02daa26a0&amp;documentId=69e1f60961acfd443be25660","Estra_Local File_2024 final")</f>
        <v/>
      </c>
      <c r="G1007" t="inlineStr">
        <is>
          <t>DOCUMENT</t>
        </is>
      </c>
      <c r="H1007" t="inlineStr">
        <is>
          <t>pdf</t>
        </is>
      </c>
      <c r="I1007" t="inlineStr">
        <is>
          <t>DOWNLOAD</t>
        </is>
      </c>
      <c r="J1007" t="n">
        <v>0.7480154</v>
      </c>
      <c r="K1007" t="inlineStr">
        <is>
          <t>Unread</t>
        </is>
      </c>
      <c r="L1007" s="153" t="n">
        <v>46176.92764111111</v>
      </c>
      <c r="M1007" t="inlineStr">
        <is>
          <t>69e1f60961acfd443be25660</t>
        </is>
      </c>
    </row>
    <row r="1008" s="148">
      <c r="A1008" s="149" t="inlineStr">
        <is>
          <t>Project Notos</t>
        </is>
      </c>
      <c r="B1008" s="149" t="inlineStr">
        <is>
          <t>3.1.7.2</t>
        </is>
      </c>
      <c r="C1008" s="17" t="inlineStr">
        <is>
          <t>CIT</t>
        </is>
      </c>
      <c r="D1008" s="25" t="n"/>
      <c r="F1008" s="150">
        <f>HYPERLINK("https://app.global.datasite.com/platform/container/696652ec0dc07cc02daa26a0/documents/content/index/69e1f67648d54b9f72633a4b","CIT")</f>
        <v/>
      </c>
      <c r="G1008" s="149" t="inlineStr">
        <is>
          <t>FOLDER</t>
        </is>
      </c>
      <c r="H1008" s="149" t="n"/>
      <c r="I1008" s="149" t="inlineStr">
        <is>
          <t>DOWNLOAD</t>
        </is>
      </c>
      <c r="J1008" s="149" t="n"/>
      <c r="K1008" s="149" t="inlineStr">
        <is>
          <t>Unread</t>
        </is>
      </c>
      <c r="L1008" s="152" t="n">
        <v>46176.92764111111</v>
      </c>
      <c r="M1008" s="149" t="inlineStr">
        <is>
          <t>69e1f67648d54b9f72633a4b</t>
        </is>
      </c>
    </row>
    <row r="1009" s="148">
      <c r="A1009" s="149" t="inlineStr">
        <is>
          <t>Project Notos</t>
        </is>
      </c>
      <c r="B1009" s="149" t="inlineStr">
        <is>
          <t>3.1.7.2.1</t>
        </is>
      </c>
      <c r="C1009" s="17" t="inlineStr">
        <is>
          <t>2024</t>
        </is>
      </c>
      <c r="D1009" s="25" t="n"/>
      <c r="F1009" s="150">
        <f>HYPERLINK("https://app.global.datasite.com/platform/container/696652ec0dc07cc02daa26a0/documents/content/index/69e1f67f48d54b9f72633a4e","2024")</f>
        <v/>
      </c>
      <c r="G1009" s="149" t="inlineStr">
        <is>
          <t>FOLDER</t>
        </is>
      </c>
      <c r="H1009" s="149" t="n"/>
      <c r="I1009" s="149" t="inlineStr">
        <is>
          <t>DOWNLOAD</t>
        </is>
      </c>
      <c r="J1009" s="149" t="n"/>
      <c r="K1009" s="149" t="inlineStr">
        <is>
          <t>Unread</t>
        </is>
      </c>
      <c r="L1009" s="152" t="n">
        <v>46176.92764111111</v>
      </c>
      <c r="M1009" s="149" t="inlineStr">
        <is>
          <t>69e1f67f48d54b9f72633a4e</t>
        </is>
      </c>
    </row>
    <row r="1010">
      <c r="A1010" t="inlineStr">
        <is>
          <t>Project Notos</t>
        </is>
      </c>
      <c r="B1010" t="inlineStr">
        <is>
          <t>3.1.7.2.1.1</t>
        </is>
      </c>
      <c r="C1010" s="15" t="inlineStr">
        <is>
          <t>CIT-8 2024 Korekta 3</t>
        </is>
      </c>
      <c r="D1010" s="20" t="inlineStr">
        <is>
          <t>Out-of-Scope</t>
        </is>
      </c>
      <c r="F1010" s="151">
        <f>HYPERLINK("https://app.global.datasite.com/webviewer/?projectId=696652ec0dc07cc02daa26a0&amp;documentId=69e1f67f48d54b9f72633a50","CIT-8 2024 Korekta 3")</f>
        <v/>
      </c>
      <c r="G1010" t="inlineStr">
        <is>
          <t>DOCUMENT</t>
        </is>
      </c>
      <c r="H1010" t="inlineStr">
        <is>
          <t>pdf</t>
        </is>
      </c>
      <c r="I1010" t="inlineStr">
        <is>
          <t>DOWNLOAD</t>
        </is>
      </c>
      <c r="J1010" t="n">
        <v>0.14101696</v>
      </c>
      <c r="K1010" t="inlineStr">
        <is>
          <t>Unread</t>
        </is>
      </c>
      <c r="L1010" s="153" t="n">
        <v>46176.92764111111</v>
      </c>
      <c r="M1010" t="inlineStr">
        <is>
          <t>69e1f67f48d54b9f72633a50</t>
        </is>
      </c>
    </row>
    <row r="1011">
      <c r="A1011" s="149" t="inlineStr">
        <is>
          <t>Project Notos</t>
        </is>
      </c>
      <c r="B1011" s="149" t="inlineStr">
        <is>
          <t>3.1.7.2.2</t>
        </is>
      </c>
      <c r="C1011" s="17" t="inlineStr">
        <is>
          <t>2025</t>
        </is>
      </c>
      <c r="D1011" s="25" t="n"/>
      <c r="F1011" s="150">
        <f>HYPERLINK("https://app.global.datasite.com/platform/container/696652ec0dc07cc02daa26a0/documents/content/index/69e1f67f48d54b9f72633a56","2025")</f>
        <v/>
      </c>
      <c r="G1011" s="149" t="inlineStr">
        <is>
          <t>FOLDER</t>
        </is>
      </c>
      <c r="H1011" s="149" t="n"/>
      <c r="I1011" s="149" t="inlineStr">
        <is>
          <t>DOWNLOAD</t>
        </is>
      </c>
      <c r="J1011" s="149" t="n"/>
      <c r="K1011" s="149" t="inlineStr">
        <is>
          <t>Unread</t>
        </is>
      </c>
      <c r="L1011" s="152" t="n">
        <v>46176.92764111111</v>
      </c>
      <c r="M1011" s="149" t="inlineStr">
        <is>
          <t>69e1f67f48d54b9f72633a56</t>
        </is>
      </c>
    </row>
    <row r="1012">
      <c r="A1012" t="inlineStr">
        <is>
          <t>Project Notos</t>
        </is>
      </c>
      <c r="B1012" t="inlineStr">
        <is>
          <t>3.1.7.2.2.1</t>
        </is>
      </c>
      <c r="C1012" s="15" t="inlineStr">
        <is>
          <t>CIT-8 (1)</t>
        </is>
      </c>
      <c r="D1012" s="20" t="inlineStr">
        <is>
          <t>Out-of-Scope</t>
        </is>
      </c>
      <c r="F1012" s="151">
        <f>HYPERLINK("https://app.global.datasite.com/webviewer/?projectId=696652ec0dc07cc02daa26a0&amp;documentId=69e1f67f48d54b9f72633a57","CIT-8 (1)")</f>
        <v/>
      </c>
      <c r="G1012" t="inlineStr">
        <is>
          <t>DOCUMENT</t>
        </is>
      </c>
      <c r="H1012" t="inlineStr">
        <is>
          <t>pdf</t>
        </is>
      </c>
      <c r="I1012" t="inlineStr">
        <is>
          <t>DOWNLOAD</t>
        </is>
      </c>
      <c r="J1012" t="n">
        <v>0.18269252</v>
      </c>
      <c r="K1012" t="inlineStr">
        <is>
          <t>Unread</t>
        </is>
      </c>
      <c r="L1012" s="153" t="n">
        <v>46176.92764111111</v>
      </c>
      <c r="M1012" t="inlineStr">
        <is>
          <t>69e1f67f48d54b9f72633a57</t>
        </is>
      </c>
    </row>
    <row r="1013">
      <c r="A1013" s="149" t="inlineStr">
        <is>
          <t>Project Notos</t>
        </is>
      </c>
      <c r="B1013" s="149" t="inlineStr">
        <is>
          <t>3.1.7.2.3</t>
        </is>
      </c>
      <c r="C1013" s="17" t="inlineStr">
        <is>
          <t>2023</t>
        </is>
      </c>
      <c r="D1013" s="25" t="n"/>
      <c r="F1013" s="150">
        <f>HYPERLINK("https://app.global.datasite.com/platform/container/696652ec0dc07cc02daa26a0/documents/content/index/69e1f67f48d54b9f72633a60","2023")</f>
        <v/>
      </c>
      <c r="G1013" s="149" t="inlineStr">
        <is>
          <t>FOLDER</t>
        </is>
      </c>
      <c r="H1013" s="149" t="n"/>
      <c r="I1013" s="149" t="inlineStr">
        <is>
          <t>DOWNLOAD</t>
        </is>
      </c>
      <c r="J1013" s="149" t="n"/>
      <c r="K1013" s="149" t="inlineStr">
        <is>
          <t>Unread</t>
        </is>
      </c>
      <c r="L1013" s="152" t="n">
        <v>46176.92764111111</v>
      </c>
      <c r="M1013" s="149" t="inlineStr">
        <is>
          <t>69e1f67f48d54b9f72633a60</t>
        </is>
      </c>
    </row>
    <row r="1014">
      <c r="A1014" t="inlineStr">
        <is>
          <t>Project Notos</t>
        </is>
      </c>
      <c r="B1014" t="inlineStr">
        <is>
          <t>3.1.7.2.3.1</t>
        </is>
      </c>
      <c r="C1014" s="15" t="inlineStr">
        <is>
          <t>CIT-8 2023 Estra Lux</t>
        </is>
      </c>
      <c r="D1014" s="20" t="inlineStr">
        <is>
          <t>Out-of-Scope</t>
        </is>
      </c>
      <c r="F1014" s="151">
        <f>HYPERLINK("https://app.global.datasite.com/webviewer/?projectId=696652ec0dc07cc02daa26a0&amp;documentId=69e1f67f48d54b9f72633a61","CIT-8 2023 Estra Lux")</f>
        <v/>
      </c>
      <c r="G1014" t="inlineStr">
        <is>
          <t>DOCUMENT</t>
        </is>
      </c>
      <c r="H1014" t="inlineStr">
        <is>
          <t>pdf</t>
        </is>
      </c>
      <c r="I1014" t="inlineStr">
        <is>
          <t>DOWNLOAD</t>
        </is>
      </c>
      <c r="J1014" t="n">
        <v>0.55802536</v>
      </c>
      <c r="K1014" t="inlineStr">
        <is>
          <t>Unread</t>
        </is>
      </c>
      <c r="L1014" s="153" t="n">
        <v>46176.92764111111</v>
      </c>
      <c r="M1014" t="inlineStr">
        <is>
          <t>69e1f67f48d54b9f72633a61</t>
        </is>
      </c>
    </row>
    <row r="1015">
      <c r="A1015" t="inlineStr">
        <is>
          <t>Project Notos</t>
        </is>
      </c>
      <c r="B1015" t="inlineStr">
        <is>
          <t>3.1.7.2.3.2</t>
        </is>
      </c>
      <c r="C1015" s="15" t="inlineStr">
        <is>
          <t>Estra  CIT 8 2023</t>
        </is>
      </c>
      <c r="D1015" s="20" t="inlineStr">
        <is>
          <t>Out-of-Scope</t>
        </is>
      </c>
      <c r="F1015" s="151">
        <f>HYPERLINK("https://app.global.datasite.com/webviewer/?projectId=696652ec0dc07cc02daa26a0&amp;documentId=69e1f67f48d54b9f72633a64","Estra  CIT 8 2023")</f>
        <v/>
      </c>
      <c r="G1015" t="inlineStr">
        <is>
          <t>DOCUMENT</t>
        </is>
      </c>
      <c r="H1015" t="inlineStr">
        <is>
          <t>pdf</t>
        </is>
      </c>
      <c r="I1015" t="inlineStr">
        <is>
          <t>DOWNLOAD</t>
        </is>
      </c>
      <c r="J1015" t="n">
        <v>3.78796863</v>
      </c>
      <c r="K1015" t="inlineStr">
        <is>
          <t>Unread</t>
        </is>
      </c>
      <c r="L1015" s="153" t="n">
        <v>46176.92764111111</v>
      </c>
      <c r="M1015" t="inlineStr">
        <is>
          <t>69e1f67f48d54b9f72633a64</t>
        </is>
      </c>
    </row>
    <row r="1016">
      <c r="A1016" s="149" t="inlineStr">
        <is>
          <t>Project Notos</t>
        </is>
      </c>
      <c r="B1016" s="149" t="inlineStr">
        <is>
          <t>3.1.7.3</t>
        </is>
      </c>
      <c r="C1016" s="17" t="inlineStr">
        <is>
          <t>VAT</t>
        </is>
      </c>
      <c r="D1016" s="25" t="n"/>
      <c r="F1016" s="150">
        <f>HYPERLINK("https://app.global.datasite.com/platform/container/696652ec0dc07cc02daa26a0/documents/content/index/69e1f7a010699361468cb80b","VAT")</f>
        <v/>
      </c>
      <c r="G1016" s="149" t="inlineStr">
        <is>
          <t>FOLDER</t>
        </is>
      </c>
      <c r="H1016" s="149" t="n"/>
      <c r="I1016" s="149" t="inlineStr">
        <is>
          <t>DOWNLOAD</t>
        </is>
      </c>
      <c r="J1016" s="149" t="n"/>
      <c r="K1016" s="149" t="inlineStr">
        <is>
          <t>Unread</t>
        </is>
      </c>
      <c r="L1016" s="152" t="n">
        <v>46176.92764111111</v>
      </c>
      <c r="M1016" s="149" t="inlineStr">
        <is>
          <t>69e1f7a010699361468cb80b</t>
        </is>
      </c>
    </row>
    <row r="1017">
      <c r="A1017" s="149" t="inlineStr">
        <is>
          <t>Project Notos</t>
        </is>
      </c>
      <c r="B1017" s="149" t="inlineStr">
        <is>
          <t>3.1.7.3.1</t>
        </is>
      </c>
      <c r="C1017" s="17" t="inlineStr">
        <is>
          <t>2025</t>
        </is>
      </c>
      <c r="D1017" s="25" t="n"/>
      <c r="F1017" s="150">
        <f>HYPERLINK("https://app.global.datasite.com/platform/container/696652ec0dc07cc02daa26a0/documents/content/index/69e1f7aedd9d275831113c66","2025")</f>
        <v/>
      </c>
      <c r="G1017" s="149" t="inlineStr">
        <is>
          <t>FOLDER</t>
        </is>
      </c>
      <c r="H1017" s="149" t="n"/>
      <c r="I1017" s="149" t="inlineStr">
        <is>
          <t>DOWNLOAD</t>
        </is>
      </c>
      <c r="J1017" s="149" t="n"/>
      <c r="K1017" s="149" t="inlineStr">
        <is>
          <t>Unread</t>
        </is>
      </c>
      <c r="L1017" s="152" t="n">
        <v>46176.92764111111</v>
      </c>
      <c r="M1017" s="149" t="inlineStr">
        <is>
          <t>69e1f7aedd9d275831113c66</t>
        </is>
      </c>
    </row>
    <row r="1018">
      <c r="A1018" s="149" t="inlineStr">
        <is>
          <t>Project Notos</t>
        </is>
      </c>
      <c r="B1018" s="149" t="inlineStr">
        <is>
          <t>3.1.7.3.1.1</t>
        </is>
      </c>
      <c r="C1018" s="17" t="inlineStr">
        <is>
          <t>11.2025</t>
        </is>
      </c>
      <c r="D1018" s="25" t="n"/>
      <c r="F1018" s="150">
        <f>HYPERLINK("https://app.global.datasite.com/platform/container/696652ec0dc07cc02daa26a0/documents/content/index/69e1f7aedd9d275831113c90","11.2025")</f>
        <v/>
      </c>
      <c r="G1018" s="149" t="inlineStr">
        <is>
          <t>FOLDER</t>
        </is>
      </c>
      <c r="H1018" s="149" t="n"/>
      <c r="I1018" s="149" t="inlineStr">
        <is>
          <t>DOWNLOAD</t>
        </is>
      </c>
      <c r="J1018" s="149" t="n"/>
      <c r="K1018" s="149" t="inlineStr">
        <is>
          <t>Unread</t>
        </is>
      </c>
      <c r="L1018" s="152" t="n">
        <v>46176.92764111111</v>
      </c>
      <c r="M1018" s="149" t="inlineStr">
        <is>
          <t>69e1f7aedd9d275831113c90</t>
        </is>
      </c>
    </row>
    <row r="1019">
      <c r="A1019" t="inlineStr">
        <is>
          <t>Project Notos</t>
        </is>
      </c>
      <c r="B1019" t="inlineStr">
        <is>
          <t>3.1.7.3.1.1.1</t>
        </is>
      </c>
      <c r="C1019" s="15" t="inlineStr">
        <is>
          <t>JPK_V7M_202511_Kor_DeklEw_20260203_3d38e5e6</t>
        </is>
      </c>
      <c r="D1019" s="20" t="inlineStr">
        <is>
          <t>Out-of-Scope</t>
        </is>
      </c>
      <c r="F1019" s="151">
        <f>HYPERLINK("https://app.global.datasite.com/webviewer/?projectId=696652ec0dc07cc02daa26a0&amp;documentId=69e8d5a614fdf124fdefb543","JPK_V7M_202511_Kor_DeklEw_20260203_3d38e5e6")</f>
        <v/>
      </c>
      <c r="G1019" t="inlineStr">
        <is>
          <t>DOCUMENT</t>
        </is>
      </c>
      <c r="H1019" t="inlineStr">
        <is>
          <t>xlsx</t>
        </is>
      </c>
      <c r="I1019" t="inlineStr">
        <is>
          <t>DOWNLOAD</t>
        </is>
      </c>
      <c r="J1019" t="n">
        <v>0.44249153</v>
      </c>
      <c r="K1019" t="inlineStr">
        <is>
          <t>Unread</t>
        </is>
      </c>
      <c r="L1019" s="153" t="n">
        <v>46176.92764111111</v>
      </c>
      <c r="M1019" t="inlineStr">
        <is>
          <t>69e8d5a614fdf124fdefb543</t>
        </is>
      </c>
    </row>
    <row r="1020">
      <c r="A1020" t="inlineStr">
        <is>
          <t>Project Notos</t>
        </is>
      </c>
      <c r="B1020" t="inlineStr">
        <is>
          <t>3.1.7.3.1.1.2</t>
        </is>
      </c>
      <c r="C1020" s="15" t="inlineStr">
        <is>
          <t>JPK_V7M_202511_Kor_DeklEw_20260220_95c6754f</t>
        </is>
      </c>
      <c r="D1020" s="20" t="inlineStr">
        <is>
          <t>Out-of-Scope</t>
        </is>
      </c>
      <c r="F1020" s="151">
        <f>HYPERLINK("https://app.global.datasite.com/webviewer/?projectId=696652ec0dc07cc02daa26a0&amp;documentId=69e8d5a614fdf124fdefb544","JPK_V7M_202511_Kor_DeklEw_20260220_95c6754f")</f>
        <v/>
      </c>
      <c r="G1020" t="inlineStr">
        <is>
          <t>DOCUMENT</t>
        </is>
      </c>
      <c r="H1020" t="inlineStr">
        <is>
          <t>xlsx</t>
        </is>
      </c>
      <c r="I1020" t="inlineStr">
        <is>
          <t>DOWNLOAD</t>
        </is>
      </c>
      <c r="J1020" t="n">
        <v>0.45380115</v>
      </c>
      <c r="K1020" t="inlineStr">
        <is>
          <t>Unread</t>
        </is>
      </c>
      <c r="L1020" s="153" t="n">
        <v>46176.92764111111</v>
      </c>
      <c r="M1020" t="inlineStr">
        <is>
          <t>69e8d5a614fdf124fdefb544</t>
        </is>
      </c>
    </row>
    <row r="1021">
      <c r="A1021" t="inlineStr">
        <is>
          <t>Project Notos</t>
        </is>
      </c>
      <c r="B1021" t="inlineStr">
        <is>
          <t>3.1.7.3.1.1.3</t>
        </is>
      </c>
      <c r="C1021" s="15" t="inlineStr">
        <is>
          <t>JPK_V7M_202511_Zl_DeklEw_20251223_d0562ec</t>
        </is>
      </c>
      <c r="D1021" s="20" t="inlineStr">
        <is>
          <t>Out-of-Scope</t>
        </is>
      </c>
      <c r="F1021" s="151">
        <f>HYPERLINK("https://app.global.datasite.com/webviewer/?projectId=696652ec0dc07cc02daa26a0&amp;documentId=69e8d5a614fdf124fdefb545","JPK_V7M_202511_Zl_DeklEw_20251223_d0562ec")</f>
        <v/>
      </c>
      <c r="G1021" t="inlineStr">
        <is>
          <t>DOCUMENT</t>
        </is>
      </c>
      <c r="H1021" t="inlineStr">
        <is>
          <t>xlsx</t>
        </is>
      </c>
      <c r="I1021" t="inlineStr">
        <is>
          <t>DOWNLOAD</t>
        </is>
      </c>
      <c r="J1021" t="n">
        <v>0.41822242</v>
      </c>
      <c r="K1021" t="inlineStr">
        <is>
          <t>Unread</t>
        </is>
      </c>
      <c r="L1021" s="153" t="n">
        <v>46176.92764111111</v>
      </c>
      <c r="M1021" t="inlineStr">
        <is>
          <t>69e8d5a614fdf124fdefb545</t>
        </is>
      </c>
    </row>
    <row r="1022">
      <c r="A1022" s="149" t="inlineStr">
        <is>
          <t>Project Notos</t>
        </is>
      </c>
      <c r="B1022" s="149" t="inlineStr">
        <is>
          <t>3.1.7.3.1.2</t>
        </is>
      </c>
      <c r="C1022" s="17" t="inlineStr">
        <is>
          <t>12.2025</t>
        </is>
      </c>
      <c r="D1022" s="25" t="n"/>
      <c r="F1022" s="150">
        <f>HYPERLINK("https://app.global.datasite.com/platform/container/696652ec0dc07cc02daa26a0/documents/content/index/69e1f7aedd9d275831113c94","12.2025")</f>
        <v/>
      </c>
      <c r="G1022" s="149" t="inlineStr">
        <is>
          <t>FOLDER</t>
        </is>
      </c>
      <c r="H1022" s="149" t="n"/>
      <c r="I1022" s="149" t="inlineStr">
        <is>
          <t>DOWNLOAD</t>
        </is>
      </c>
      <c r="J1022" s="149" t="n"/>
      <c r="K1022" s="149" t="inlineStr">
        <is>
          <t>Unread</t>
        </is>
      </c>
      <c r="L1022" s="152" t="n">
        <v>46176.92764111111</v>
      </c>
      <c r="M1022" s="149" t="inlineStr">
        <is>
          <t>69e1f7aedd9d275831113c94</t>
        </is>
      </c>
    </row>
    <row r="1023">
      <c r="A1023" t="inlineStr">
        <is>
          <t>Project Notos</t>
        </is>
      </c>
      <c r="B1023" t="inlineStr">
        <is>
          <t>3.1.7.3.1.2.1</t>
        </is>
      </c>
      <c r="C1023" s="15" t="inlineStr">
        <is>
          <t>JPK_V7M_202512_Kor_DeklEw_20260220_95c8cc8e</t>
        </is>
      </c>
      <c r="D1023" s="20" t="inlineStr">
        <is>
          <t>Out-of-Scope</t>
        </is>
      </c>
      <c r="F1023" s="151">
        <f>HYPERLINK("https://app.global.datasite.com/webviewer/?projectId=696652ec0dc07cc02daa26a0&amp;documentId=69e8d6d20152995e4d374a9a","JPK_V7M_202512_Kor_DeklEw_20260220_95c8cc8e")</f>
        <v/>
      </c>
      <c r="G1023" t="inlineStr">
        <is>
          <t>DOCUMENT</t>
        </is>
      </c>
      <c r="H1023" t="inlineStr">
        <is>
          <t>xlsx</t>
        </is>
      </c>
      <c r="I1023" t="inlineStr">
        <is>
          <t>DOWNLOAD</t>
        </is>
      </c>
      <c r="J1023" t="n">
        <v>0.4053812</v>
      </c>
      <c r="K1023" t="inlineStr">
        <is>
          <t>Unread</t>
        </is>
      </c>
      <c r="L1023" s="153" t="n">
        <v>46176.92764111111</v>
      </c>
      <c r="M1023" t="inlineStr">
        <is>
          <t>69e8d6d20152995e4d374a9a</t>
        </is>
      </c>
    </row>
    <row r="1024">
      <c r="A1024" t="inlineStr">
        <is>
          <t>Project Notos</t>
        </is>
      </c>
      <c r="B1024" t="inlineStr">
        <is>
          <t>3.1.7.3.1.2.2</t>
        </is>
      </c>
      <c r="C1024" s="15" t="inlineStr">
        <is>
          <t>JPK_V7M_202512_Zl_DeklEw_20260126_154eb92e</t>
        </is>
      </c>
      <c r="D1024" s="20" t="inlineStr">
        <is>
          <t>Out-of-Scope</t>
        </is>
      </c>
      <c r="F1024" s="151">
        <f>HYPERLINK("https://app.global.datasite.com/webviewer/?projectId=696652ec0dc07cc02daa26a0&amp;documentId=69e8d6d20152995e4d374a9b","JPK_V7M_202512_Zl_DeklEw_20260126_154eb92e")</f>
        <v/>
      </c>
      <c r="G1024" t="inlineStr">
        <is>
          <t>DOCUMENT</t>
        </is>
      </c>
      <c r="H1024" t="inlineStr">
        <is>
          <t>xlsx</t>
        </is>
      </c>
      <c r="I1024" t="inlineStr">
        <is>
          <t>DOWNLOAD</t>
        </is>
      </c>
      <c r="J1024" t="n">
        <v>0.39840793</v>
      </c>
      <c r="K1024" t="inlineStr">
        <is>
          <t>Unread</t>
        </is>
      </c>
      <c r="L1024" s="153" t="n">
        <v>46176.92764111111</v>
      </c>
      <c r="M1024" t="inlineStr">
        <is>
          <t>69e8d6d20152995e4d374a9b</t>
        </is>
      </c>
    </row>
    <row r="1025">
      <c r="A1025" s="149" t="inlineStr">
        <is>
          <t>Project Notos</t>
        </is>
      </c>
      <c r="B1025" s="149" t="inlineStr">
        <is>
          <t>3.1.7.4</t>
        </is>
      </c>
      <c r="C1025" s="17" t="inlineStr">
        <is>
          <t>CIT 2024_tax control final protocol</t>
        </is>
      </c>
      <c r="D1025" s="25" t="n"/>
      <c r="F1025" s="150">
        <f>HYPERLINK("https://app.global.datasite.com/platform/container/696652ec0dc07cc02daa26a0/documents/content/index/69e1f846a228d1ae7a33bdbf","CIT 2024_tax control final protocol")</f>
        <v/>
      </c>
      <c r="G1025" s="149" t="inlineStr">
        <is>
          <t>FOLDER</t>
        </is>
      </c>
      <c r="H1025" s="149" t="n"/>
      <c r="I1025" s="149" t="inlineStr">
        <is>
          <t>DOWNLOAD</t>
        </is>
      </c>
      <c r="J1025" s="149" t="n"/>
      <c r="K1025" s="149" t="inlineStr">
        <is>
          <t>Unread</t>
        </is>
      </c>
      <c r="L1025" s="152" t="n">
        <v>46176.92764111111</v>
      </c>
      <c r="M1025" s="149" t="inlineStr">
        <is>
          <t>69e1f846a228d1ae7a33bdbf</t>
        </is>
      </c>
    </row>
    <row r="1026">
      <c r="A1026" t="inlineStr">
        <is>
          <t>Project Notos</t>
        </is>
      </c>
      <c r="B1026" t="inlineStr">
        <is>
          <t>3.1.7.4.1</t>
        </is>
      </c>
      <c r="C1026" s="15" t="inlineStr">
        <is>
          <t>2471-26-011456</t>
        </is>
      </c>
      <c r="D1026" s="20" t="inlineStr">
        <is>
          <t>Out-of-Scope</t>
        </is>
      </c>
      <c r="F1026" s="151">
        <f>HYPERLINK("https://app.global.datasite.com/webviewer/?projectId=696652ec0dc07cc02daa26a0&amp;documentId=69e1f846a228d1ae7a33bdc0","2471-26-011456")</f>
        <v/>
      </c>
      <c r="G1026" t="inlineStr">
        <is>
          <t>DOCUMENT</t>
        </is>
      </c>
      <c r="H1026" t="inlineStr">
        <is>
          <t>pdf</t>
        </is>
      </c>
      <c r="I1026" t="inlineStr">
        <is>
          <t>DOWNLOAD</t>
        </is>
      </c>
      <c r="J1026" t="n">
        <v>1.22187328</v>
      </c>
      <c r="K1026" t="inlineStr">
        <is>
          <t>Unread</t>
        </is>
      </c>
      <c r="L1026" s="153" t="n">
        <v>46176.92764111111</v>
      </c>
      <c r="M1026" t="inlineStr">
        <is>
          <t>69e1f846a228d1ae7a33bdc0</t>
        </is>
      </c>
    </row>
    <row r="1027">
      <c r="A1027" t="inlineStr">
        <is>
          <t>Project Notos</t>
        </is>
      </c>
      <c r="B1027" t="inlineStr">
        <is>
          <t>3.1.7.4.2</t>
        </is>
      </c>
      <c r="C1027" s="15" t="inlineStr">
        <is>
          <t>2471-24-043344 Protokół Kontroli Podatkowej ESTRA AUTOMOTIVE SYSTEMS  LUXEMBOURG Sarl., NIP 5263325222.docx</t>
        </is>
      </c>
      <c r="D1027" s="20" t="inlineStr">
        <is>
          <t>Out-of-Scope</t>
        </is>
      </c>
      <c r="F1027" s="151">
        <f>HYPERLINK("https://app.global.datasite.com/webviewer/?projectId=696652ec0dc07cc02daa26a0&amp;documentId=69e1f852c6d303b1b899e6a6","2471-24-043344 Protokół Kontroli Podatkowej ESTRA AUTOMOTIVE SYSTEMS  LUXEMBOURG Sarl., NIP 5263325222.docx")</f>
        <v/>
      </c>
      <c r="G1027" t="inlineStr">
        <is>
          <t>DOCUMENT</t>
        </is>
      </c>
      <c r="H1027" t="inlineStr">
        <is>
          <t>pdf</t>
        </is>
      </c>
      <c r="I1027" t="inlineStr">
        <is>
          <t>DOWNLOAD</t>
        </is>
      </c>
      <c r="J1027" t="n">
        <v>0.30907917</v>
      </c>
      <c r="K1027" t="inlineStr">
        <is>
          <t>Unread</t>
        </is>
      </c>
      <c r="L1027" s="153" t="n">
        <v>46176.92764111111</v>
      </c>
      <c r="M1027" t="inlineStr">
        <is>
          <t>69e1f852c6d303b1b899e6a6</t>
        </is>
      </c>
    </row>
    <row r="1028">
      <c r="A1028" t="inlineStr">
        <is>
          <t>Project Notos</t>
        </is>
      </c>
      <c r="B1028" t="inlineStr">
        <is>
          <t>3.1.7.4.3</t>
        </is>
      </c>
      <c r="C1028" s="15" t="inlineStr">
        <is>
          <t>2471-24-046042 informacja o  sprostowaniu oczywistej omyłki.docx</t>
        </is>
      </c>
      <c r="D1028" s="20" t="inlineStr">
        <is>
          <t>Out-of-Scope</t>
        </is>
      </c>
      <c r="F1028" s="151">
        <f>HYPERLINK("https://app.global.datasite.com/webviewer/?projectId=696652ec0dc07cc02daa26a0&amp;documentId=69e1f852c6d303b1b899e6a7","2471-24-046042 informacja o  sprostowaniu oczywistej omyłki.docx")</f>
        <v/>
      </c>
      <c r="G1028" t="inlineStr">
        <is>
          <t>DOCUMENT</t>
        </is>
      </c>
      <c r="H1028" t="inlineStr">
        <is>
          <t>pdf</t>
        </is>
      </c>
      <c r="I1028" t="inlineStr">
        <is>
          <t>DOWNLOAD</t>
        </is>
      </c>
      <c r="J1028" t="n">
        <v>0.11375522</v>
      </c>
      <c r="K1028" t="inlineStr">
        <is>
          <t>Unread</t>
        </is>
      </c>
      <c r="L1028" s="153" t="n">
        <v>46176.92764111111</v>
      </c>
      <c r="M1028" t="inlineStr">
        <is>
          <t>69e1f852c6d303b1b899e6a7</t>
        </is>
      </c>
    </row>
    <row r="1029">
      <c r="A1029" s="149" t="inlineStr">
        <is>
          <t>Project Notos</t>
        </is>
      </c>
      <c r="B1029" s="149" t="inlineStr">
        <is>
          <t>3.2</t>
        </is>
      </c>
      <c r="C1029" s="17" t="inlineStr">
        <is>
          <t>Innerio Heat Exchanger (IHE)</t>
        </is>
      </c>
      <c r="D1029" s="25" t="n"/>
      <c r="F1029" s="150">
        <f>HYPERLINK("https://app.global.datasite.com/platform/container/696652ec0dc07cc02daa26a0/documents/content/index/698cb7348a98cfb9f910d6d5","Innerio Heat Exchanger (IHE)")</f>
        <v/>
      </c>
      <c r="G1029" s="149" t="inlineStr">
        <is>
          <t>FOLDER</t>
        </is>
      </c>
      <c r="H1029" s="149" t="n"/>
      <c r="I1029" s="149" t="inlineStr">
        <is>
          <t>DOWNLOAD</t>
        </is>
      </c>
      <c r="J1029" s="149" t="n"/>
      <c r="K1029" s="149" t="inlineStr">
        <is>
          <t>Unread</t>
        </is>
      </c>
      <c r="L1029" s="152" t="n">
        <v>46176.92764111111</v>
      </c>
      <c r="M1029" s="149" t="inlineStr">
        <is>
          <t>698cb7348a98cfb9f910d6d5</t>
        </is>
      </c>
    </row>
    <row r="1030">
      <c r="A1030" s="149" t="inlineStr">
        <is>
          <t>Project Notos</t>
        </is>
      </c>
      <c r="B1030" s="149" t="inlineStr">
        <is>
          <t>3.2.1</t>
        </is>
      </c>
      <c r="C1030" s="17" t="inlineStr">
        <is>
          <t>Tax compliance</t>
        </is>
      </c>
      <c r="D1030" s="25" t="n"/>
      <c r="F1030" s="150">
        <f>HYPERLINK("https://app.global.datasite.com/platform/container/696652ec0dc07cc02daa26a0/documents/content/index/69dc996d9896ef599c403223","Tax compliance")</f>
        <v/>
      </c>
      <c r="G1030" s="149" t="inlineStr">
        <is>
          <t>FOLDER</t>
        </is>
      </c>
      <c r="H1030" s="149" t="n"/>
      <c r="I1030" s="149" t="inlineStr">
        <is>
          <t>DOWNLOAD</t>
        </is>
      </c>
      <c r="J1030" s="149" t="n"/>
      <c r="K1030" s="149" t="inlineStr">
        <is>
          <t>Unread</t>
        </is>
      </c>
      <c r="L1030" s="152" t="n">
        <v>46176.92764111111</v>
      </c>
      <c r="M1030" s="149" t="inlineStr">
        <is>
          <t>69dc996d9896ef599c403223</t>
        </is>
      </c>
    </row>
    <row r="1031">
      <c r="A1031" t="inlineStr">
        <is>
          <t>Project Notos</t>
        </is>
      </c>
      <c r="B1031" t="inlineStr">
        <is>
          <t>3.2.1.1</t>
        </is>
      </c>
      <c r="C1031" s="15" t="inlineStr">
        <is>
          <t>260408_Overview Tax</t>
        </is>
      </c>
      <c r="D1031" s="20" t="inlineStr">
        <is>
          <t>Out-of-Scope</t>
        </is>
      </c>
      <c r="F1031" s="151">
        <f>HYPERLINK("https://app.global.datasite.com/webviewer/?projectId=696652ec0dc07cc02daa26a0&amp;documentId=69e0deb1aad32439d8b4868e","260408_Overview Tax")</f>
        <v/>
      </c>
      <c r="G1031" t="inlineStr">
        <is>
          <t>DOCUMENT</t>
        </is>
      </c>
      <c r="H1031" t="inlineStr">
        <is>
          <t>xlsx</t>
        </is>
      </c>
      <c r="I1031" t="inlineStr">
        <is>
          <t>DOWNLOAD</t>
        </is>
      </c>
      <c r="J1031" t="n">
        <v>0.008483879999999999</v>
      </c>
      <c r="K1031" t="inlineStr">
        <is>
          <t>Unread</t>
        </is>
      </c>
      <c r="L1031" s="153" t="n">
        <v>46176.92764111111</v>
      </c>
      <c r="M1031" t="inlineStr">
        <is>
          <t>69e0deb1aad32439d8b4868e</t>
        </is>
      </c>
    </row>
    <row r="1032">
      <c r="A1032" t="inlineStr">
        <is>
          <t>Project Notos</t>
        </is>
      </c>
      <c r="B1032" t="inlineStr">
        <is>
          <t>3.2.1.2</t>
        </is>
      </c>
      <c r="C1032" s="15" t="inlineStr">
        <is>
          <t>250821_Selbstanzeige</t>
        </is>
      </c>
      <c r="D1032" s="20" t="inlineStr">
        <is>
          <t>Out-of-Scope</t>
        </is>
      </c>
      <c r="F1032" s="151">
        <f>HYPERLINK("https://app.global.datasite.com/webviewer/?projectId=696652ec0dc07cc02daa26a0&amp;documentId=69e0deb1aad32439d8b4868f","250821_Selbstanzeige")</f>
        <v/>
      </c>
      <c r="G1032" t="inlineStr">
        <is>
          <t>DOCUMENT</t>
        </is>
      </c>
      <c r="H1032" t="inlineStr">
        <is>
          <t>pdf</t>
        </is>
      </c>
      <c r="I1032" t="inlineStr">
        <is>
          <t>DOWNLOAD</t>
        </is>
      </c>
      <c r="J1032" t="n">
        <v>0.6326351099999999</v>
      </c>
      <c r="K1032" t="inlineStr">
        <is>
          <t>Unread</t>
        </is>
      </c>
      <c r="L1032" s="153" t="n">
        <v>46176.92764111111</v>
      </c>
      <c r="M1032" t="inlineStr">
        <is>
          <t>69e0deb1aad32439d8b4868f</t>
        </is>
      </c>
    </row>
    <row r="1033">
      <c r="A1033" t="inlineStr">
        <is>
          <t>Project Notos</t>
        </is>
      </c>
      <c r="B1033" t="inlineStr">
        <is>
          <t>3.2.1.3</t>
        </is>
      </c>
      <c r="C1033" s="15" t="inlineStr">
        <is>
          <t>250821_Selbstanzeige_Beilage 1</t>
        </is>
      </c>
      <c r="D1033" s="20" t="inlineStr">
        <is>
          <t>Out-of-Scope</t>
        </is>
      </c>
      <c r="F1033" s="151">
        <f>HYPERLINK("https://app.global.datasite.com/webviewer/?projectId=696652ec0dc07cc02daa26a0&amp;documentId=69e0deb1aad32439d8b48690","250821_Selbstanzeige_Beilage 1")</f>
        <v/>
      </c>
      <c r="G1033" t="inlineStr">
        <is>
          <t>DOCUMENT</t>
        </is>
      </c>
      <c r="H1033" t="inlineStr">
        <is>
          <t>pdf</t>
        </is>
      </c>
      <c r="I1033" t="inlineStr">
        <is>
          <t>DOWNLOAD</t>
        </is>
      </c>
      <c r="J1033" t="n">
        <v>0.30460357</v>
      </c>
      <c r="K1033" t="inlineStr">
        <is>
          <t>Unread</t>
        </is>
      </c>
      <c r="L1033" s="153" t="n">
        <v>46176.92764111111</v>
      </c>
      <c r="M1033" t="inlineStr">
        <is>
          <t>69e0deb1aad32439d8b48690</t>
        </is>
      </c>
    </row>
    <row r="1034">
      <c r="A1034" t="inlineStr">
        <is>
          <t>Project Notos</t>
        </is>
      </c>
      <c r="B1034" t="inlineStr">
        <is>
          <t>3.2.1.4</t>
        </is>
      </c>
      <c r="C1034" s="15" t="inlineStr">
        <is>
          <t>250821_Selbstanzeige_Beilage 2</t>
        </is>
      </c>
      <c r="D1034" s="20" t="inlineStr">
        <is>
          <t>Out-of-Scope</t>
        </is>
      </c>
      <c r="F1034" s="151">
        <f>HYPERLINK("https://app.global.datasite.com/webviewer/?projectId=696652ec0dc07cc02daa26a0&amp;documentId=69e0deb1aad32439d8b48691","250821_Selbstanzeige_Beilage 2")</f>
        <v/>
      </c>
      <c r="G1034" t="inlineStr">
        <is>
          <t>DOCUMENT</t>
        </is>
      </c>
      <c r="H1034" t="inlineStr">
        <is>
          <t>pdf</t>
        </is>
      </c>
      <c r="I1034" t="inlineStr">
        <is>
          <t>DOWNLOAD</t>
        </is>
      </c>
      <c r="J1034" t="n">
        <v>0.16100215</v>
      </c>
      <c r="K1034" t="inlineStr">
        <is>
          <t>Unread</t>
        </is>
      </c>
      <c r="L1034" s="153" t="n">
        <v>46176.92764111111</v>
      </c>
      <c r="M1034" t="inlineStr">
        <is>
          <t>69e0deb1aad32439d8b48691</t>
        </is>
      </c>
    </row>
    <row r="1035">
      <c r="A1035" t="inlineStr">
        <is>
          <t>Project Notos</t>
        </is>
      </c>
      <c r="B1035" t="inlineStr">
        <is>
          <t>3.2.1.5</t>
        </is>
      </c>
      <c r="C1035" s="15" t="inlineStr">
        <is>
          <t>250924_Offenlegung § 29</t>
        </is>
      </c>
      <c r="D1035" s="20" t="inlineStr">
        <is>
          <t>Out-of-Scope</t>
        </is>
      </c>
      <c r="F1035" s="151">
        <f>HYPERLINK("https://app.global.datasite.com/webviewer/?projectId=696652ec0dc07cc02daa26a0&amp;documentId=69e0deb1aad32439d8b48692","250924_Offenlegung § 29")</f>
        <v/>
      </c>
      <c r="G1035" t="inlineStr">
        <is>
          <t>DOCUMENT</t>
        </is>
      </c>
      <c r="H1035" t="inlineStr">
        <is>
          <t>pdf</t>
        </is>
      </c>
      <c r="I1035" t="inlineStr">
        <is>
          <t>DOWNLOAD</t>
        </is>
      </c>
      <c r="J1035" t="n">
        <v>1.02082443</v>
      </c>
      <c r="K1035" t="inlineStr">
        <is>
          <t>Unread</t>
        </is>
      </c>
      <c r="L1035" s="153" t="n">
        <v>46176.92764111111</v>
      </c>
      <c r="M1035" t="inlineStr">
        <is>
          <t>69e0deb1aad32439d8b48692</t>
        </is>
      </c>
    </row>
    <row r="1036">
      <c r="A1036" s="149" t="inlineStr">
        <is>
          <t>Project Notos</t>
        </is>
      </c>
      <c r="B1036" s="149" t="inlineStr">
        <is>
          <t>3.2.2</t>
        </is>
      </c>
      <c r="C1036" s="17" t="inlineStr">
        <is>
          <t>CIT</t>
        </is>
      </c>
      <c r="D1036" s="25" t="n"/>
      <c r="F1036" s="150">
        <f>HYPERLINK("https://app.global.datasite.com/platform/container/696652ec0dc07cc02daa26a0/documents/content/index/69dc99874dbaeb41dce0462d","CIT")</f>
        <v/>
      </c>
      <c r="G1036" s="149" t="inlineStr">
        <is>
          <t>FOLDER</t>
        </is>
      </c>
      <c r="H1036" s="149" t="n"/>
      <c r="I1036" s="149" t="inlineStr">
        <is>
          <t>DOWNLOAD</t>
        </is>
      </c>
      <c r="J1036" s="149" t="n"/>
      <c r="K1036" s="149" t="inlineStr">
        <is>
          <t>Unread</t>
        </is>
      </c>
      <c r="L1036" s="152" t="n">
        <v>46176.92764111111</v>
      </c>
      <c r="M1036" s="149" t="inlineStr">
        <is>
          <t>69dc99874dbaeb41dce0462d</t>
        </is>
      </c>
    </row>
    <row r="1037">
      <c r="A1037" t="inlineStr">
        <is>
          <t>Project Notos</t>
        </is>
      </c>
      <c r="B1037" t="inlineStr">
        <is>
          <t>3.2.2.1</t>
        </is>
      </c>
      <c r="C1037" s="15" t="inlineStr">
        <is>
          <t>Innerio Heat Exchanger - KStek 2023</t>
        </is>
      </c>
      <c r="D1037" s="20" t="inlineStr">
        <is>
          <t>Out-of-Scope</t>
        </is>
      </c>
      <c r="F1037" s="151">
        <f>HYPERLINK("https://app.global.datasite.com/webviewer/?projectId=696652ec0dc07cc02daa26a0&amp;documentId=69e0e0f5f976a76f20d760d5","Innerio Heat Exchanger - KStek 2023")</f>
        <v/>
      </c>
      <c r="G1037" t="inlineStr">
        <is>
          <t>DOCUMENT</t>
        </is>
      </c>
      <c r="H1037" t="inlineStr">
        <is>
          <t>pdf</t>
        </is>
      </c>
      <c r="I1037" t="inlineStr">
        <is>
          <t>DOWNLOAD</t>
        </is>
      </c>
      <c r="J1037" t="n">
        <v>3.47955131</v>
      </c>
      <c r="K1037" t="inlineStr">
        <is>
          <t>Unread</t>
        </is>
      </c>
      <c r="L1037" s="153" t="n">
        <v>46176.92764111111</v>
      </c>
      <c r="M1037" t="inlineStr">
        <is>
          <t>69e0e0f5f976a76f20d760d5</t>
        </is>
      </c>
    </row>
    <row r="1038">
      <c r="A1038" t="inlineStr">
        <is>
          <t>Project Notos</t>
        </is>
      </c>
      <c r="B1038" t="inlineStr">
        <is>
          <t>3.2.2.2</t>
        </is>
      </c>
      <c r="C1038" t="inlineStr">
        <is>
          <t>IHE - vorläufige Steuerberechnung per 31.12.2024</t>
        </is>
      </c>
      <c r="D1038" s="20" t="inlineStr">
        <is>
          <t>Out-of-Scope</t>
        </is>
      </c>
      <c r="E1038" s="35" t="n"/>
      <c r="F1038" s="151" t="n">
        <v>0</v>
      </c>
      <c r="G1038" t="inlineStr">
        <is>
          <t>DOCUMENT</t>
        </is>
      </c>
      <c r="H1038" t="inlineStr">
        <is>
          <t>pdf</t>
        </is>
      </c>
      <c r="I1038" t="inlineStr">
        <is>
          <t>DOWNLOAD</t>
        </is>
      </c>
      <c r="J1038" t="n">
        <v>1.06314373</v>
      </c>
      <c r="K1038" t="inlineStr">
        <is>
          <t>Unread</t>
        </is>
      </c>
      <c r="L1038" s="153" t="n">
        <v>46191.6752265625</v>
      </c>
      <c r="M1038" t="inlineStr">
        <is>
          <t>6a33b34cfff4d52aa3dc15b7</t>
        </is>
      </c>
    </row>
    <row r="1039">
      <c r="A1039" t="inlineStr">
        <is>
          <t>Project Notos</t>
        </is>
      </c>
      <c r="B1039" t="inlineStr">
        <is>
          <t>3.2.2.3</t>
        </is>
      </c>
      <c r="C1039" t="inlineStr">
        <is>
          <t>IHE - vorläufige Steuerberechnung per 31.12.2025</t>
        </is>
      </c>
      <c r="D1039" s="20" t="inlineStr">
        <is>
          <t>Out-of-Scope</t>
        </is>
      </c>
      <c r="E1039" s="35" t="n"/>
      <c r="F1039" s="151" t="n">
        <v>0</v>
      </c>
      <c r="G1039" t="inlineStr">
        <is>
          <t>DOCUMENT</t>
        </is>
      </c>
      <c r="H1039" t="inlineStr">
        <is>
          <t>pdf</t>
        </is>
      </c>
      <c r="I1039" t="inlineStr">
        <is>
          <t>DOWNLOAD</t>
        </is>
      </c>
      <c r="J1039" t="n">
        <v>1.10933876</v>
      </c>
      <c r="K1039" t="inlineStr">
        <is>
          <t>Unread</t>
        </is>
      </c>
      <c r="L1039" s="153" t="n">
        <v>46191.6752265625</v>
      </c>
      <c r="M1039" t="inlineStr">
        <is>
          <t>6a33b3627007e1f3f2e4471f</t>
        </is>
      </c>
    </row>
    <row r="1040">
      <c r="A1040" s="149" t="inlineStr">
        <is>
          <t>Project Notos</t>
        </is>
      </c>
      <c r="B1040" s="149" t="inlineStr">
        <is>
          <t>3.2.3</t>
        </is>
      </c>
      <c r="C1040" s="17" t="inlineStr">
        <is>
          <t>VAT</t>
        </is>
      </c>
      <c r="D1040" s="25" t="n"/>
      <c r="F1040" s="150">
        <f>HYPERLINK("https://app.global.datasite.com/platform/container/696652ec0dc07cc02daa26a0/documents/content/index/69dc9990a17dd124b5a56740","VAT")</f>
        <v/>
      </c>
      <c r="G1040" s="149" t="inlineStr">
        <is>
          <t>FOLDER</t>
        </is>
      </c>
      <c r="H1040" s="149" t="n"/>
      <c r="I1040" s="149" t="inlineStr">
        <is>
          <t>DOWNLOAD</t>
        </is>
      </c>
      <c r="J1040" s="149" t="n"/>
      <c r="K1040" s="149" t="inlineStr">
        <is>
          <t>Unread</t>
        </is>
      </c>
      <c r="L1040" s="152" t="n">
        <v>46176.92764111111</v>
      </c>
      <c r="M1040" s="149" t="inlineStr">
        <is>
          <t>69dc9990a17dd124b5a56740</t>
        </is>
      </c>
    </row>
    <row r="1041">
      <c r="A1041" t="inlineStr">
        <is>
          <t>Project Notos</t>
        </is>
      </c>
      <c r="B1041" t="inlineStr">
        <is>
          <t>3.2.3.1</t>
        </is>
      </c>
      <c r="C1041" s="15" t="inlineStr">
        <is>
          <t>Innerio Heat Exchanger - UStek 2023</t>
        </is>
      </c>
      <c r="D1041" s="20" t="inlineStr">
        <is>
          <t>Out-of-Scope</t>
        </is>
      </c>
      <c r="F1041" s="151">
        <f>HYPERLINK("https://app.global.datasite.com/webviewer/?projectId=696652ec0dc07cc02daa26a0&amp;documentId=69e0e1d76880b70cdc943066","Innerio Heat Exchanger - UStek 2023")</f>
        <v/>
      </c>
      <c r="G1041" t="inlineStr">
        <is>
          <t>DOCUMENT</t>
        </is>
      </c>
      <c r="H1041" t="inlineStr">
        <is>
          <t>pdf</t>
        </is>
      </c>
      <c r="I1041" t="inlineStr">
        <is>
          <t>DOWNLOAD</t>
        </is>
      </c>
      <c r="J1041" t="n">
        <v>0.05782604</v>
      </c>
      <c r="K1041" t="inlineStr">
        <is>
          <t>Unread</t>
        </is>
      </c>
      <c r="L1041" s="153" t="n">
        <v>46176.92764111111</v>
      </c>
      <c r="M1041" t="inlineStr">
        <is>
          <t>69e0e1d76880b70cdc943066</t>
        </is>
      </c>
    </row>
    <row r="1042">
      <c r="A1042" t="inlineStr">
        <is>
          <t>Project Notos</t>
        </is>
      </c>
      <c r="B1042" t="inlineStr">
        <is>
          <t>3.2.3.2</t>
        </is>
      </c>
      <c r="C1042" t="inlineStr">
        <is>
          <t>IHE_UST-Verprobung 2024 Innerio Heat Exchanger</t>
        </is>
      </c>
      <c r="D1042" s="20" t="inlineStr">
        <is>
          <t>Out-of-Scope</t>
        </is>
      </c>
      <c r="E1042" s="35" t="n"/>
      <c r="F1042" s="151" t="n">
        <v>0</v>
      </c>
      <c r="G1042" t="inlineStr">
        <is>
          <t>DOCUMENT</t>
        </is>
      </c>
      <c r="H1042" t="inlineStr">
        <is>
          <t>xlsx</t>
        </is>
      </c>
      <c r="I1042" t="inlineStr">
        <is>
          <t>DOWNLOAD</t>
        </is>
      </c>
      <c r="J1042" t="n">
        <v>0.04883575</v>
      </c>
      <c r="K1042" t="inlineStr">
        <is>
          <t>Unread</t>
        </is>
      </c>
      <c r="L1042" s="153" t="n">
        <v>46192.69789745371</v>
      </c>
      <c r="M1042" t="inlineStr">
        <is>
          <t>6a3555563360ce3724afe793</t>
        </is>
      </c>
    </row>
    <row r="1043">
      <c r="A1043" s="149" t="inlineStr">
        <is>
          <t>Project Notos</t>
        </is>
      </c>
      <c r="B1043" s="149" t="inlineStr">
        <is>
          <t>3.2.4</t>
        </is>
      </c>
      <c r="C1043" s="17" t="inlineStr">
        <is>
          <t>Assessment notices</t>
        </is>
      </c>
      <c r="D1043" s="25" t="n"/>
      <c r="F1043" s="150">
        <f>HYPERLINK("https://app.global.datasite.com/platform/container/696652ec0dc07cc02daa26a0/documents/content/index/69dc99aa2d8ac3b1e4e99b5d","Assessment notices")</f>
        <v/>
      </c>
      <c r="G1043" s="149" t="inlineStr">
        <is>
          <t>FOLDER</t>
        </is>
      </c>
      <c r="H1043" s="149" t="n"/>
      <c r="I1043" s="149" t="inlineStr">
        <is>
          <t>DOWNLOAD</t>
        </is>
      </c>
      <c r="J1043" s="149" t="n"/>
      <c r="K1043" s="149" t="inlineStr">
        <is>
          <t>Unread</t>
        </is>
      </c>
      <c r="L1043" s="152" t="n">
        <v>46176.92764111111</v>
      </c>
      <c r="M1043" s="149" t="inlineStr">
        <is>
          <t>69dc99aa2d8ac3b1e4e99b5d</t>
        </is>
      </c>
    </row>
    <row r="1044">
      <c r="A1044" t="inlineStr">
        <is>
          <t>Project Notos</t>
        </is>
      </c>
      <c r="B1044" t="inlineStr">
        <is>
          <t>3.2.4.1</t>
        </is>
      </c>
      <c r="C1044" s="15" t="inlineStr">
        <is>
          <t>250523_Umsatzsteuerbescheid 2023</t>
        </is>
      </c>
      <c r="D1044" s="20" t="inlineStr">
        <is>
          <t>Out-of-Scope</t>
        </is>
      </c>
      <c r="F1044" s="151">
        <f>HYPERLINK("https://app.global.datasite.com/webviewer/?projectId=696652ec0dc07cc02daa26a0&amp;documentId=69e0e30ef024e2b74ff6d7d2","250523_Umsatzsteuerbescheid 2023")</f>
        <v/>
      </c>
      <c r="G1044" t="inlineStr">
        <is>
          <t>DOCUMENT</t>
        </is>
      </c>
      <c r="H1044" t="inlineStr">
        <is>
          <t>pdf</t>
        </is>
      </c>
      <c r="I1044" t="inlineStr">
        <is>
          <t>DOWNLOAD</t>
        </is>
      </c>
      <c r="J1044" t="n">
        <v>0.07809066000000001</v>
      </c>
      <c r="K1044" t="inlineStr">
        <is>
          <t>Unread</t>
        </is>
      </c>
      <c r="L1044" s="153" t="n">
        <v>46176.92764111111</v>
      </c>
      <c r="M1044" t="inlineStr">
        <is>
          <t>69e0e30ef024e2b74ff6d7d2</t>
        </is>
      </c>
    </row>
    <row r="1045">
      <c r="A1045" s="149" t="inlineStr">
        <is>
          <t>Project Notos</t>
        </is>
      </c>
      <c r="B1045" s="149" t="inlineStr">
        <is>
          <t>3.2.5</t>
        </is>
      </c>
      <c r="C1045" s="17" t="inlineStr">
        <is>
          <t>Tax audits</t>
        </is>
      </c>
      <c r="D1045" s="25" t="n"/>
      <c r="F1045" s="150">
        <f>HYPERLINK("https://app.global.datasite.com/platform/container/696652ec0dc07cc02daa26a0/documents/content/index/69dc99c0a17dd124b5a56757","Tax audits")</f>
        <v/>
      </c>
      <c r="G1045" s="149" t="inlineStr">
        <is>
          <t>FOLDER</t>
        </is>
      </c>
      <c r="H1045" s="149" t="n"/>
      <c r="I1045" s="149" t="inlineStr">
        <is>
          <t>DOWNLOAD</t>
        </is>
      </c>
      <c r="J1045" s="149" t="n"/>
      <c r="K1045" s="149" t="inlineStr">
        <is>
          <t>Unread</t>
        </is>
      </c>
      <c r="L1045" s="152" t="n">
        <v>46176.92764111111</v>
      </c>
      <c r="M1045" s="149" t="inlineStr">
        <is>
          <t>69dc99c0a17dd124b5a56757</t>
        </is>
      </c>
    </row>
    <row r="1046">
      <c r="A1046" t="inlineStr">
        <is>
          <t>Project Notos</t>
        </is>
      </c>
      <c r="B1046" t="inlineStr">
        <is>
          <t>3.2.5.1</t>
        </is>
      </c>
      <c r="C1046" s="15" t="inlineStr">
        <is>
          <t>Betriebsprüfung GPLA_2016</t>
        </is>
      </c>
      <c r="D1046" s="20" t="inlineStr">
        <is>
          <t>Out-of-Scope</t>
        </is>
      </c>
      <c r="F1046" s="151">
        <f>HYPERLINK("https://app.global.datasite.com/webviewer/?projectId=696652ec0dc07cc02daa26a0&amp;documentId=69e0e5d1aad32439d8b4893d","Betriebsprüfung GPLA_2016")</f>
        <v/>
      </c>
      <c r="G1046" t="inlineStr">
        <is>
          <t>DOCUMENT</t>
        </is>
      </c>
      <c r="H1046" t="inlineStr">
        <is>
          <t>pdf</t>
        </is>
      </c>
      <c r="I1046" t="inlineStr">
        <is>
          <t>DOWNLOAD</t>
        </is>
      </c>
      <c r="J1046" t="n">
        <v>0.09826087</v>
      </c>
      <c r="K1046" t="inlineStr">
        <is>
          <t>Unread</t>
        </is>
      </c>
      <c r="L1046" s="153" t="n">
        <v>46176.92764111111</v>
      </c>
      <c r="M1046" t="inlineStr">
        <is>
          <t>69e0e5d1aad32439d8b4893d</t>
        </is>
      </c>
    </row>
    <row r="1047">
      <c r="A1047" t="inlineStr">
        <is>
          <t>Project Notos</t>
        </is>
      </c>
      <c r="B1047" t="inlineStr">
        <is>
          <t>3.2.5.2</t>
        </is>
      </c>
      <c r="C1047" s="15" t="inlineStr">
        <is>
          <t>Betriebsprüfung nach § 28 p Abs. 1 des Vierten Buches des Sozialgesetzbuches (SGB IV)</t>
        </is>
      </c>
      <c r="D1047" s="20" t="inlineStr">
        <is>
          <t>Out-of-Scope</t>
        </is>
      </c>
      <c r="F1047" s="151">
        <f>HYPERLINK("https://app.global.datasite.com/webviewer/?projectId=696652ec0dc07cc02daa26a0&amp;documentId=69e0e5d1aad32439d8b4893e","Betriebsprüfung nach § 28 p Abs. 1 des Vierten Buches des Sozialgesetzbuches (SGB IV)")</f>
        <v/>
      </c>
      <c r="G1047" t="inlineStr">
        <is>
          <t>DOCUMENT</t>
        </is>
      </c>
      <c r="H1047" t="inlineStr">
        <is>
          <t>pdf</t>
        </is>
      </c>
      <c r="I1047" t="inlineStr">
        <is>
          <t>DOWNLOAD</t>
        </is>
      </c>
      <c r="J1047" t="n">
        <v>0.78353214</v>
      </c>
      <c r="K1047" t="inlineStr">
        <is>
          <t>Unread</t>
        </is>
      </c>
      <c r="L1047" s="153" t="n">
        <v>46176.92764111111</v>
      </c>
      <c r="M1047" t="inlineStr">
        <is>
          <t>69e0e5d1aad32439d8b4893e</t>
        </is>
      </c>
    </row>
    <row r="1048">
      <c r="A1048" t="inlineStr">
        <is>
          <t>Project Notos</t>
        </is>
      </c>
      <c r="B1048" t="inlineStr">
        <is>
          <t>3.2.5.3</t>
        </is>
      </c>
      <c r="C1048" s="15" t="inlineStr">
        <is>
          <t>Betriebsprüfung Verlustersatz II</t>
        </is>
      </c>
      <c r="D1048" s="20" t="inlineStr">
        <is>
          <t>Out-of-Scope</t>
        </is>
      </c>
      <c r="F1048" s="151">
        <f>HYPERLINK("https://app.global.datasite.com/webviewer/?projectId=696652ec0dc07cc02daa26a0&amp;documentId=69e0e5d1aad32439d8b4893f","Betriebsprüfung Verlustersatz II")</f>
        <v/>
      </c>
      <c r="G1048" t="inlineStr">
        <is>
          <t>DOCUMENT</t>
        </is>
      </c>
      <c r="H1048" t="inlineStr">
        <is>
          <t>pdf</t>
        </is>
      </c>
      <c r="I1048" t="inlineStr">
        <is>
          <t>DOWNLOAD</t>
        </is>
      </c>
      <c r="J1048" t="n">
        <v>0.33658981</v>
      </c>
      <c r="K1048" t="inlineStr">
        <is>
          <t>Unread</t>
        </is>
      </c>
      <c r="L1048" s="153" t="n">
        <v>46176.92764111111</v>
      </c>
      <c r="M1048" t="inlineStr">
        <is>
          <t>69e0e5d1aad32439d8b4893f</t>
        </is>
      </c>
    </row>
    <row r="1049">
      <c r="A1049" t="inlineStr">
        <is>
          <t>Project Notos</t>
        </is>
      </c>
      <c r="B1049" t="inlineStr">
        <is>
          <t>3.2.5.4</t>
        </is>
      </c>
      <c r="C1049" s="15" t="inlineStr">
        <is>
          <t>Betriebsprüfung_USt_KÖSt_KESt_ZM_2020</t>
        </is>
      </c>
      <c r="D1049" s="20" t="inlineStr">
        <is>
          <t>Out-of-Scope</t>
        </is>
      </c>
      <c r="F1049" s="151">
        <f>HYPERLINK("https://app.global.datasite.com/webviewer/?projectId=696652ec0dc07cc02daa26a0&amp;documentId=69e0e5d1aad32439d8b48940","Betriebsprüfung_USt_KÖSt_KESt_ZM_2020")</f>
        <v/>
      </c>
      <c r="G1049" t="inlineStr">
        <is>
          <t>DOCUMENT</t>
        </is>
      </c>
      <c r="H1049" t="inlineStr">
        <is>
          <t>pdf</t>
        </is>
      </c>
      <c r="I1049" t="inlineStr">
        <is>
          <t>DOWNLOAD</t>
        </is>
      </c>
      <c r="J1049" t="n">
        <v>0.00758075</v>
      </c>
      <c r="K1049" t="inlineStr">
        <is>
          <t>Unread</t>
        </is>
      </c>
      <c r="L1049" s="153" t="n">
        <v>46176.92764111111</v>
      </c>
      <c r="M1049" t="inlineStr">
        <is>
          <t>69e0e5d1aad32439d8b48940</t>
        </is>
      </c>
    </row>
    <row r="1050">
      <c r="A1050" t="inlineStr">
        <is>
          <t>Project Notos</t>
        </is>
      </c>
      <c r="B1050" t="inlineStr">
        <is>
          <t>3.2.5.5</t>
        </is>
      </c>
      <c r="C1050" s="15" t="inlineStr">
        <is>
          <t>Innerio Heat Exchanger GmbH - Prüfungsankündigung Lohnsteuerprüfung</t>
        </is>
      </c>
      <c r="D1050" s="20" t="inlineStr">
        <is>
          <t>Out-of-Scope</t>
        </is>
      </c>
      <c r="F1050" s="151">
        <f>HYPERLINK("https://app.global.datasite.com/webviewer/?projectId=696652ec0dc07cc02daa26a0&amp;documentId=69e0e5d1aad32439d8b48941","Innerio Heat Exchanger GmbH - Prüfungsankündigung Lohnsteuerprüfung")</f>
        <v/>
      </c>
      <c r="G1050" t="inlineStr">
        <is>
          <t>DOCUMENT</t>
        </is>
      </c>
      <c r="H1050" t="inlineStr">
        <is>
          <t>pdf</t>
        </is>
      </c>
      <c r="I1050" t="inlineStr">
        <is>
          <t>DOWNLOAD</t>
        </is>
      </c>
      <c r="J1050" t="n">
        <v>0.10085964</v>
      </c>
      <c r="K1050" t="inlineStr">
        <is>
          <t>Unread</t>
        </is>
      </c>
      <c r="L1050" s="153" t="n">
        <v>46176.92764111111</v>
      </c>
      <c r="M1050" t="inlineStr">
        <is>
          <t>69e0e5d1aad32439d8b48941</t>
        </is>
      </c>
    </row>
    <row r="1051">
      <c r="A1051" t="inlineStr">
        <is>
          <t>Project Notos</t>
        </is>
      </c>
      <c r="B1051" t="inlineStr">
        <is>
          <t>3.2.5.6</t>
        </is>
      </c>
      <c r="C1051" s="15" t="inlineStr">
        <is>
          <t>Zollprüfung 13.09.2023-31.08.2025</t>
        </is>
      </c>
      <c r="D1051" s="20" t="inlineStr">
        <is>
          <t>Out-of-Scope</t>
        </is>
      </c>
      <c r="F1051" s="151">
        <f>HYPERLINK("https://app.global.datasite.com/webviewer/?projectId=696652ec0dc07cc02daa26a0&amp;documentId=69e0e5d1aad32439d8b48942","Zollprüfung 13.09.2023-31.08.2025")</f>
        <v/>
      </c>
      <c r="G1051" t="inlineStr">
        <is>
          <t>DOCUMENT</t>
        </is>
      </c>
      <c r="H1051" t="inlineStr">
        <is>
          <t>pdf</t>
        </is>
      </c>
      <c r="I1051" t="inlineStr">
        <is>
          <t>DOWNLOAD</t>
        </is>
      </c>
      <c r="J1051" t="n">
        <v>2.43259334</v>
      </c>
      <c r="K1051" t="inlineStr">
        <is>
          <t>Unread</t>
        </is>
      </c>
      <c r="L1051" s="153" t="n">
        <v>46176.92764111111</v>
      </c>
      <c r="M1051" t="inlineStr">
        <is>
          <t>69e0e5d1aad32439d8b48942</t>
        </is>
      </c>
    </row>
    <row r="1052">
      <c r="A1052" t="inlineStr">
        <is>
          <t>Project Notos</t>
        </is>
      </c>
      <c r="B1052" t="inlineStr">
        <is>
          <t>3.2.5.7</t>
        </is>
      </c>
      <c r="C1052" s="15" t="inlineStr">
        <is>
          <t>Zollprüfung_2023</t>
        </is>
      </c>
      <c r="D1052" s="20" t="inlineStr">
        <is>
          <t>Out-of-Scope</t>
        </is>
      </c>
      <c r="F1052" s="151">
        <f>HYPERLINK("https://app.global.datasite.com/webviewer/?projectId=696652ec0dc07cc02daa26a0&amp;documentId=69e0e5d1aad32439d8b48943","Zollprüfung_2023")</f>
        <v/>
      </c>
      <c r="G1052" t="inlineStr">
        <is>
          <t>DOCUMENT</t>
        </is>
      </c>
      <c r="H1052" t="inlineStr">
        <is>
          <t>pdf</t>
        </is>
      </c>
      <c r="I1052" t="inlineStr">
        <is>
          <t>DOWNLOAD</t>
        </is>
      </c>
      <c r="J1052" t="n">
        <v>0.9810276</v>
      </c>
      <c r="K1052" t="inlineStr">
        <is>
          <t>Unread</t>
        </is>
      </c>
      <c r="L1052" s="153" t="n">
        <v>46176.92764111111</v>
      </c>
      <c r="M1052" t="inlineStr">
        <is>
          <t>69e0e5d1aad32439d8b48943</t>
        </is>
      </c>
    </row>
    <row r="1053">
      <c r="A1053" t="inlineStr">
        <is>
          <t>Project Notos</t>
        </is>
      </c>
      <c r="B1053" t="inlineStr">
        <is>
          <t>3.2.5.8</t>
        </is>
      </c>
      <c r="C1053" s="15" t="inlineStr">
        <is>
          <t>Zollprüfung_2023_Anhänge</t>
        </is>
      </c>
      <c r="D1053" s="20" t="inlineStr">
        <is>
          <t>Out-of-Scope</t>
        </is>
      </c>
      <c r="F1053" s="151">
        <f>HYPERLINK("https://app.global.datasite.com/webviewer/?projectId=696652ec0dc07cc02daa26a0&amp;documentId=69e0e5d1aad32439d8b48944","Zollprüfung_2023_Anhänge")</f>
        <v/>
      </c>
      <c r="G1053" t="inlineStr">
        <is>
          <t>DOCUMENT</t>
        </is>
      </c>
      <c r="H1053" t="inlineStr">
        <is>
          <t>pdf</t>
        </is>
      </c>
      <c r="I1053" t="inlineStr">
        <is>
          <t>DOWNLOAD</t>
        </is>
      </c>
      <c r="J1053" t="n">
        <v>2.97689914</v>
      </c>
      <c r="K1053" t="inlineStr">
        <is>
          <t>Unread</t>
        </is>
      </c>
      <c r="L1053" s="153" t="n">
        <v>46176.92764111111</v>
      </c>
      <c r="M1053" t="inlineStr">
        <is>
          <t>69e0e5d1aad32439d8b48944</t>
        </is>
      </c>
    </row>
    <row r="1054">
      <c r="A1054" s="149" t="inlineStr">
        <is>
          <t>Project Notos</t>
        </is>
      </c>
      <c r="B1054" s="149" t="inlineStr">
        <is>
          <t>3.2.6</t>
        </is>
      </c>
      <c r="C1054" s="17" t="inlineStr">
        <is>
          <t>CIT group</t>
        </is>
      </c>
      <c r="D1054" s="25" t="n"/>
      <c r="F1054" s="150">
        <f>HYPERLINK("https://app.global.datasite.com/platform/container/696652ec0dc07cc02daa26a0/documents/content/index/69dc99d90c0b043764d7f036","CIT group")</f>
        <v/>
      </c>
      <c r="G1054" s="149" t="inlineStr">
        <is>
          <t>FOLDER</t>
        </is>
      </c>
      <c r="H1054" s="149" t="n"/>
      <c r="I1054" s="149" t="inlineStr">
        <is>
          <t>DOWNLOAD</t>
        </is>
      </c>
      <c r="J1054" s="149" t="n"/>
      <c r="K1054" s="149" t="inlineStr">
        <is>
          <t>Unread</t>
        </is>
      </c>
      <c r="L1054" s="152" t="n">
        <v>46176.92764111111</v>
      </c>
      <c r="M1054" s="149" t="inlineStr">
        <is>
          <t>69dc99d90c0b043764d7f036</t>
        </is>
      </c>
    </row>
    <row r="1055">
      <c r="A1055" t="inlineStr">
        <is>
          <t>Project Notos</t>
        </is>
      </c>
      <c r="B1055" t="inlineStr">
        <is>
          <t>3.2.6.1</t>
        </is>
      </c>
      <c r="C1055" s="15" t="inlineStr">
        <is>
          <t>250205_Gruppenfeststellungsbescheid</t>
        </is>
      </c>
      <c r="D1055" s="20" t="inlineStr">
        <is>
          <t>Out-of-Scope</t>
        </is>
      </c>
      <c r="F1055" s="151">
        <f>HYPERLINK("https://app.global.datasite.com/webviewer/?projectId=696652ec0dc07cc02daa26a0&amp;documentId=69e0e4bd3dbcd4a7a2082399","250205_Gruppenfeststellungsbescheid")</f>
        <v/>
      </c>
      <c r="G1055" t="inlineStr">
        <is>
          <t>DOCUMENT</t>
        </is>
      </c>
      <c r="H1055" t="inlineStr">
        <is>
          <t>pdf</t>
        </is>
      </c>
      <c r="I1055" t="inlineStr">
        <is>
          <t>DOWNLOAD</t>
        </is>
      </c>
      <c r="J1055" t="n">
        <v>0.07110880999999999</v>
      </c>
      <c r="K1055" t="inlineStr">
        <is>
          <t>Unread</t>
        </is>
      </c>
      <c r="L1055" s="153" t="n">
        <v>46176.92764111111</v>
      </c>
      <c r="M1055" t="inlineStr">
        <is>
          <t>69e0e4bd3dbcd4a7a2082399</t>
        </is>
      </c>
    </row>
    <row r="1056">
      <c r="A1056" t="inlineStr">
        <is>
          <t>Project Notos</t>
        </is>
      </c>
      <c r="B1056" t="inlineStr">
        <is>
          <t>3.2.6.2</t>
        </is>
      </c>
      <c r="C1056" s="15" t="inlineStr">
        <is>
          <t>250110_Bescheid über die Beendigung der Unternehmensgruppe</t>
        </is>
      </c>
      <c r="D1056" s="20" t="inlineStr">
        <is>
          <t>Out-of-Scope</t>
        </is>
      </c>
      <c r="F1056" s="151">
        <f>HYPERLINK("https://app.global.datasite.com/webviewer/?projectId=696652ec0dc07cc02daa26a0&amp;documentId=69e1ddbc61acfd443be24e10","250110_Bescheid über die Beendigung der Unternehmensgruppe")</f>
        <v/>
      </c>
      <c r="G1056" t="inlineStr">
        <is>
          <t>DOCUMENT</t>
        </is>
      </c>
      <c r="H1056" t="inlineStr">
        <is>
          <t>pdf</t>
        </is>
      </c>
      <c r="I1056" t="inlineStr">
        <is>
          <t>DOWNLOAD</t>
        </is>
      </c>
      <c r="J1056" t="n">
        <v>0.06648349000000001</v>
      </c>
      <c r="K1056" t="inlineStr">
        <is>
          <t>Unread</t>
        </is>
      </c>
      <c r="L1056" s="153" t="n">
        <v>46176.92764111111</v>
      </c>
      <c r="M1056" t="inlineStr">
        <is>
          <t>69e1ddbc61acfd443be24e10</t>
        </is>
      </c>
    </row>
    <row r="1057">
      <c r="A1057" t="inlineStr">
        <is>
          <t>Project Notos</t>
        </is>
      </c>
      <c r="B1057" t="inlineStr">
        <is>
          <t>3.2.6.3</t>
        </is>
      </c>
      <c r="C1057" t="inlineStr">
        <is>
          <t>220303_Bescheid über die Beendigung der Unternehmensgruppe</t>
        </is>
      </c>
      <c r="D1057" s="20" t="inlineStr">
        <is>
          <t>Out-of-Scope</t>
        </is>
      </c>
      <c r="E1057" s="35" t="n"/>
      <c r="F1057" s="151" t="n">
        <v>0</v>
      </c>
      <c r="G1057" t="inlineStr">
        <is>
          <t>DOCUMENT</t>
        </is>
      </c>
      <c r="H1057" t="inlineStr">
        <is>
          <t>pdf</t>
        </is>
      </c>
      <c r="I1057" t="inlineStr">
        <is>
          <t>DOWNLOAD</t>
        </is>
      </c>
      <c r="J1057" t="n">
        <v>0.21281433</v>
      </c>
      <c r="K1057" t="inlineStr">
        <is>
          <t>Unread</t>
        </is>
      </c>
      <c r="L1057" s="153" t="n">
        <v>46191.67812365741</v>
      </c>
      <c r="M1057" t="inlineStr">
        <is>
          <t>6a33b0e4cb22928e7ea75b3b</t>
        </is>
      </c>
    </row>
    <row r="1058">
      <c r="A1058" t="inlineStr">
        <is>
          <t>Project Notos</t>
        </is>
      </c>
      <c r="B1058" t="inlineStr">
        <is>
          <t>3.2.6.4</t>
        </is>
      </c>
      <c r="C1058" t="inlineStr">
        <is>
          <t>220303_Gruppenfeststellungsbescheid 2021</t>
        </is>
      </c>
      <c r="D1058" s="20" t="inlineStr">
        <is>
          <t>Out-of-Scope</t>
        </is>
      </c>
      <c r="E1058" s="35" t="n"/>
      <c r="F1058" s="151" t="n">
        <v>0</v>
      </c>
      <c r="G1058" t="inlineStr">
        <is>
          <t>DOCUMENT</t>
        </is>
      </c>
      <c r="H1058" t="inlineStr">
        <is>
          <t>pdf</t>
        </is>
      </c>
      <c r="I1058" t="inlineStr">
        <is>
          <t>DOWNLOAD</t>
        </is>
      </c>
      <c r="J1058" t="n">
        <v>0.27678966</v>
      </c>
      <c r="K1058" t="inlineStr">
        <is>
          <t>Unread</t>
        </is>
      </c>
      <c r="L1058" s="153" t="n">
        <v>46191.67812365741</v>
      </c>
      <c r="M1058" t="inlineStr">
        <is>
          <t>6a33b0fb9fbab98d7c45d9d3</t>
        </is>
      </c>
    </row>
    <row r="1059">
      <c r="A1059" s="149" t="inlineStr">
        <is>
          <t>Project Notos</t>
        </is>
      </c>
      <c r="B1059" s="149" t="inlineStr">
        <is>
          <t>3.2.7</t>
        </is>
      </c>
      <c r="C1059" s="17" t="inlineStr">
        <is>
          <t>Other</t>
        </is>
      </c>
      <c r="D1059" s="25" t="n"/>
      <c r="F1059" s="150">
        <f>HYPERLINK("https://app.global.datasite.com/platform/container/696652ec0dc07cc02daa26a0/documents/content/index/69dc99e83fa59166bc0ae699","Other")</f>
        <v/>
      </c>
      <c r="G1059" s="149" t="inlineStr">
        <is>
          <t>FOLDER</t>
        </is>
      </c>
      <c r="H1059" s="149" t="n"/>
      <c r="I1059" s="149" t="inlineStr">
        <is>
          <t>DOWNLOAD</t>
        </is>
      </c>
      <c r="J1059" s="149" t="n"/>
      <c r="K1059" s="149" t="inlineStr">
        <is>
          <t>Unread</t>
        </is>
      </c>
      <c r="L1059" s="152" t="n">
        <v>46176.92764111111</v>
      </c>
      <c r="M1059" s="149" t="inlineStr">
        <is>
          <t>69dc99e83fa59166bc0ae699</t>
        </is>
      </c>
    </row>
    <row r="1060">
      <c r="A1060" s="149" t="inlineStr">
        <is>
          <t>Project Notos</t>
        </is>
      </c>
      <c r="B1060" s="149" t="inlineStr">
        <is>
          <t>3.2.7.1</t>
        </is>
      </c>
      <c r="C1060" s="17" t="inlineStr">
        <is>
          <t>WiEReG</t>
        </is>
      </c>
      <c r="D1060" s="25" t="n"/>
      <c r="F1060" s="150">
        <f>HYPERLINK("https://app.global.datasite.com/platform/container/696652ec0dc07cc02daa26a0/documents/content/index/69dc9ae64dbaeb41dce046e8","WiEReG")</f>
        <v/>
      </c>
      <c r="G1060" s="149" t="inlineStr">
        <is>
          <t>FOLDER</t>
        </is>
      </c>
      <c r="H1060" s="149" t="n"/>
      <c r="I1060" s="149" t="inlineStr">
        <is>
          <t>DOWNLOAD</t>
        </is>
      </c>
      <c r="J1060" s="149" t="n"/>
      <c r="K1060" s="149" t="inlineStr">
        <is>
          <t>Unread</t>
        </is>
      </c>
      <c r="L1060" s="152" t="n">
        <v>46176.92764111111</v>
      </c>
      <c r="M1060" s="149" t="inlineStr">
        <is>
          <t>69dc9ae64dbaeb41dce046e8</t>
        </is>
      </c>
    </row>
    <row r="1061">
      <c r="A1061" t="inlineStr">
        <is>
          <t>Project Notos</t>
        </is>
      </c>
      <c r="B1061" t="inlineStr">
        <is>
          <t>3.2.7.1.1</t>
        </is>
      </c>
      <c r="C1061" s="15" t="inlineStr">
        <is>
          <t>WiEReG_IHE_Meldung_23.03.2026</t>
        </is>
      </c>
      <c r="D1061" s="20" t="inlineStr">
        <is>
          <t>Out-of-Scope</t>
        </is>
      </c>
      <c r="F1061" s="151">
        <f>HYPERLINK("https://app.global.datasite.com/webviewer/?projectId=696652ec0dc07cc02daa26a0&amp;documentId=69e0ea7d265b43720a74fa66","WiEReG_IHE_Meldung_23.03.2026")</f>
        <v/>
      </c>
      <c r="G1061" t="inlineStr">
        <is>
          <t>DOCUMENT</t>
        </is>
      </c>
      <c r="H1061" t="inlineStr">
        <is>
          <t>pdf</t>
        </is>
      </c>
      <c r="I1061" t="inlineStr">
        <is>
          <t>DOWNLOAD</t>
        </is>
      </c>
      <c r="J1061" t="n">
        <v>0.58800506</v>
      </c>
      <c r="K1061" t="inlineStr">
        <is>
          <t>Unread</t>
        </is>
      </c>
      <c r="L1061" s="153" t="n">
        <v>46176.92764111111</v>
      </c>
      <c r="M1061" t="inlineStr">
        <is>
          <t>69e0ea7d265b43720a74fa66</t>
        </is>
      </c>
    </row>
    <row r="1062">
      <c r="A1062" s="149" t="inlineStr">
        <is>
          <t>Project Notos</t>
        </is>
      </c>
      <c r="B1062" s="149" t="inlineStr">
        <is>
          <t>3.2.7.2</t>
        </is>
      </c>
      <c r="C1062" s="149" t="inlineStr">
        <is>
          <t>Loss carried forward</t>
        </is>
      </c>
      <c r="D1062" s="149" t="n"/>
      <c r="E1062" s="35" t="n"/>
      <c r="F1062" s="150" t="n">
        <v>0</v>
      </c>
      <c r="G1062" s="149" t="inlineStr">
        <is>
          <t>FOLDER</t>
        </is>
      </c>
      <c r="H1062" s="149" t="n"/>
      <c r="I1062" s="149" t="inlineStr">
        <is>
          <t>DOWNLOAD</t>
        </is>
      </c>
      <c r="J1062" s="149" t="n"/>
      <c r="K1062" s="149" t="inlineStr">
        <is>
          <t>Unread</t>
        </is>
      </c>
      <c r="L1062" s="152" t="n">
        <v>46191.67899990741</v>
      </c>
      <c r="M1062" s="149" t="inlineStr">
        <is>
          <t>6a33b4bb89742daf4ff2874a</t>
        </is>
      </c>
    </row>
    <row r="1063">
      <c r="A1063" t="inlineStr">
        <is>
          <t>Project Notos</t>
        </is>
      </c>
      <c r="B1063" t="inlineStr">
        <is>
          <t>3.2.7.2.1</t>
        </is>
      </c>
      <c r="C1063" t="inlineStr">
        <is>
          <t>IHE_Verlustvorträge per 31.12.2024</t>
        </is>
      </c>
      <c r="D1063" s="20" t="inlineStr">
        <is>
          <t>Out-of-Scope</t>
        </is>
      </c>
      <c r="E1063" s="35" t="n"/>
      <c r="F1063" s="151" t="n">
        <v>0</v>
      </c>
      <c r="G1063" t="inlineStr">
        <is>
          <t>DOCUMENT</t>
        </is>
      </c>
      <c r="H1063" t="inlineStr">
        <is>
          <t>pdf</t>
        </is>
      </c>
      <c r="I1063" t="inlineStr">
        <is>
          <t>DOWNLOAD</t>
        </is>
      </c>
      <c r="J1063" t="n">
        <v>0.76152038</v>
      </c>
      <c r="K1063" t="inlineStr">
        <is>
          <t>Unread</t>
        </is>
      </c>
      <c r="L1063" s="153" t="n">
        <v>46191.67899946759</v>
      </c>
      <c r="M1063" t="inlineStr">
        <is>
          <t>6a33b55689742daf4ff28786</t>
        </is>
      </c>
    </row>
    <row r="1064">
      <c r="A1064" s="149" t="inlineStr">
        <is>
          <t>Project Notos</t>
        </is>
      </c>
      <c r="B1064" s="149" t="inlineStr">
        <is>
          <t>3.2.8</t>
        </is>
      </c>
      <c r="C1064" s="149" t="inlineStr">
        <is>
          <t>Steuerkonto</t>
        </is>
      </c>
      <c r="D1064" s="149" t="n"/>
      <c r="E1064" s="35" t="n"/>
      <c r="F1064" s="150" t="n">
        <v>0</v>
      </c>
      <c r="G1064" s="149" t="inlineStr">
        <is>
          <t>FOLDER</t>
        </is>
      </c>
      <c r="H1064" s="149" t="n"/>
      <c r="I1064" s="149" t="inlineStr">
        <is>
          <t>DOWNLOAD</t>
        </is>
      </c>
      <c r="J1064" s="149" t="n"/>
      <c r="K1064" s="149" t="inlineStr">
        <is>
          <t>Unread</t>
        </is>
      </c>
      <c r="L1064" s="152" t="n">
        <v>46191.63405409722</v>
      </c>
      <c r="M1064" s="149" t="inlineStr">
        <is>
          <t>6a33d3e36322174d6f3237c3</t>
        </is>
      </c>
    </row>
    <row r="1065">
      <c r="A1065" t="inlineStr">
        <is>
          <t>Project Notos</t>
        </is>
      </c>
      <c r="B1065" t="inlineStr">
        <is>
          <t>3.2.8.1</t>
        </is>
      </c>
      <c r="C1065" t="inlineStr">
        <is>
          <t>IHE_Finonline_2026 06 16</t>
        </is>
      </c>
      <c r="D1065" s="20" t="inlineStr">
        <is>
          <t>Out-of-Scope</t>
        </is>
      </c>
      <c r="E1065" s="35" t="n"/>
      <c r="F1065" s="151" t="n">
        <v>0</v>
      </c>
      <c r="G1065" t="inlineStr">
        <is>
          <t>DOCUMENT</t>
        </is>
      </c>
      <c r="H1065" t="inlineStr">
        <is>
          <t>pdf</t>
        </is>
      </c>
      <c r="I1065" t="inlineStr">
        <is>
          <t>DOWNLOAD</t>
        </is>
      </c>
      <c r="J1065" t="n">
        <v>3.93618774</v>
      </c>
      <c r="K1065" t="inlineStr">
        <is>
          <t>Unread</t>
        </is>
      </c>
      <c r="L1065" s="153" t="n">
        <v>46191.6340537037</v>
      </c>
      <c r="M1065" t="inlineStr">
        <is>
          <t>6a33b64ccb22928e7ea76ee2</t>
        </is>
      </c>
    </row>
    <row r="1066">
      <c r="A1066" s="154" t="inlineStr">
        <is>
          <t>Project Notos</t>
        </is>
      </c>
      <c r="B1066" s="154" t="inlineStr">
        <is>
          <t>3.2.9</t>
        </is>
      </c>
      <c r="C1066" s="155" t="inlineStr">
        <is>
          <t>Tax Filings / Steuerakt</t>
        </is>
      </c>
      <c r="D1066" s="156" t="n"/>
      <c r="E1066" s="156" t="n"/>
      <c r="F1066" s="157">
        <f>HYPERLINK("https://app.global.datasite.com/platform/container/696652ec0dc07cc02daa26a0/documents/content/index/6a399af8fcbe25735ac7203e","Tax Filings / Steuerakt")</f>
        <v/>
      </c>
      <c r="G1066" s="154" t="inlineStr">
        <is>
          <t>FOLDER</t>
        </is>
      </c>
      <c r="H1066" s="154" t="n"/>
      <c r="I1066" s="154" t="inlineStr">
        <is>
          <t>DOWNLOAD</t>
        </is>
      </c>
      <c r="J1066" s="154" t="n"/>
      <c r="K1066" s="154" t="inlineStr">
        <is>
          <t>Unread</t>
        </is>
      </c>
      <c r="L1066" s="158" t="n">
        <v>46196.40602612268</v>
      </c>
      <c r="M1066" s="154" t="inlineStr">
        <is>
          <t>6a399af8fcbe25735ac7203e</t>
        </is>
      </c>
    </row>
    <row r="1067">
      <c r="A1067" s="154" t="inlineStr">
        <is>
          <t>Project Notos</t>
        </is>
      </c>
      <c r="B1067" s="154" t="inlineStr">
        <is>
          <t>3.2.9.1</t>
        </is>
      </c>
      <c r="C1067" s="155" t="inlineStr">
        <is>
          <t>IHE_Steuerakt 2023</t>
        </is>
      </c>
      <c r="D1067" s="156" t="n"/>
      <c r="E1067" s="156" t="n"/>
      <c r="F1067" s="157">
        <f>HYPERLINK("https://app.global.datasite.com/webviewer/?projectId=696652ec0dc07cc02daa26a0&amp;documentId=6a3a332cd068d307edacdb99","IHE_Steuerakt 2023")</f>
        <v/>
      </c>
      <c r="G1067" s="154" t="inlineStr">
        <is>
          <t>DOCUMENT</t>
        </is>
      </c>
      <c r="H1067" s="154" t="inlineStr">
        <is>
          <t>pdf</t>
        </is>
      </c>
      <c r="I1067" s="154" t="inlineStr">
        <is>
          <t>DOWNLOAD</t>
        </is>
      </c>
      <c r="J1067" s="154" t="n">
        <v>0.43732166</v>
      </c>
      <c r="K1067" s="154" t="inlineStr">
        <is>
          <t>Unread</t>
        </is>
      </c>
      <c r="L1067" s="158" t="n">
        <v>46196.40602565972</v>
      </c>
      <c r="M1067" s="154" t="inlineStr">
        <is>
          <t>6a3a332cd068d307edacdb99</t>
        </is>
      </c>
    </row>
    <row r="1068">
      <c r="A1068" s="154" t="inlineStr">
        <is>
          <t>Project Notos</t>
        </is>
      </c>
      <c r="B1068" s="154" t="inlineStr">
        <is>
          <t>3.2.9.2</t>
        </is>
      </c>
      <c r="C1068" s="155" t="inlineStr">
        <is>
          <t>IHE_Steuerakt 2025</t>
        </is>
      </c>
      <c r="D1068" s="156" t="n"/>
      <c r="E1068" s="156" t="n"/>
      <c r="F1068" s="157">
        <f>HYPERLINK("https://app.global.datasite.com/webviewer/?projectId=696652ec0dc07cc02daa26a0&amp;documentId=6a3a332cd068d307edacdb9a","IHE_Steuerakt 2025")</f>
        <v/>
      </c>
      <c r="G1068" s="154" t="inlineStr">
        <is>
          <t>DOCUMENT</t>
        </is>
      </c>
      <c r="H1068" s="154" t="inlineStr">
        <is>
          <t>pdf</t>
        </is>
      </c>
      <c r="I1068" s="154" t="inlineStr">
        <is>
          <t>DOWNLOAD</t>
        </is>
      </c>
      <c r="J1068" s="154" t="n">
        <v>0.18065929</v>
      </c>
      <c r="K1068" s="154" t="inlineStr">
        <is>
          <t>Unread</t>
        </is>
      </c>
      <c r="L1068" s="158" t="n">
        <v>46196.40602565972</v>
      </c>
      <c r="M1068" s="154" t="inlineStr">
        <is>
          <t>6a3a332cd068d307edacdb9a</t>
        </is>
      </c>
    </row>
    <row r="1069">
      <c r="A1069" s="154" t="inlineStr">
        <is>
          <t>Project Notos</t>
        </is>
      </c>
      <c r="B1069" s="154" t="inlineStr">
        <is>
          <t>3.2.9.3</t>
        </is>
      </c>
      <c r="C1069" s="155" t="inlineStr">
        <is>
          <t>IHE_Steuerakt 2024</t>
        </is>
      </c>
      <c r="D1069" s="156" t="n"/>
      <c r="E1069" s="156" t="n"/>
      <c r="F1069" s="157">
        <f>HYPERLINK("https://app.global.datasite.com/webviewer/?projectId=696652ec0dc07cc02daa26a0&amp;documentId=6a3a332cd068d307edacdb9b","IHE_Steuerakt 2024")</f>
        <v/>
      </c>
      <c r="G1069" s="154" t="inlineStr">
        <is>
          <t>DOCUMENT</t>
        </is>
      </c>
      <c r="H1069" s="154" t="inlineStr">
        <is>
          <t>pdf</t>
        </is>
      </c>
      <c r="I1069" s="154" t="inlineStr">
        <is>
          <t>DOWNLOAD</t>
        </is>
      </c>
      <c r="J1069" s="154" t="n">
        <v>0.23987579</v>
      </c>
      <c r="K1069" s="154" t="inlineStr">
        <is>
          <t>Unread</t>
        </is>
      </c>
      <c r="L1069" s="158" t="n">
        <v>46196.40602565972</v>
      </c>
      <c r="M1069" s="154" t="inlineStr">
        <is>
          <t>6a3a332cd068d307edacdb9b</t>
        </is>
      </c>
    </row>
    <row r="1070">
      <c r="A1070" s="154" t="inlineStr">
        <is>
          <t>Project Notos</t>
        </is>
      </c>
      <c r="B1070" s="154" t="inlineStr">
        <is>
          <t>3.2.9.4</t>
        </is>
      </c>
      <c r="C1070" s="155" t="inlineStr">
        <is>
          <t>IHE_Steuerakt 2026</t>
        </is>
      </c>
      <c r="D1070" s="156" t="n"/>
      <c r="E1070" s="156" t="n"/>
      <c r="F1070" s="157">
        <f>HYPERLINK("https://app.global.datasite.com/webviewer/?projectId=696652ec0dc07cc02daa26a0&amp;documentId=6a3a332cd068d307edacdb9c","IHE_Steuerakt 2026")</f>
        <v/>
      </c>
      <c r="G1070" s="154" t="inlineStr">
        <is>
          <t>DOCUMENT</t>
        </is>
      </c>
      <c r="H1070" s="154" t="inlineStr">
        <is>
          <t>pdf</t>
        </is>
      </c>
      <c r="I1070" s="154" t="inlineStr">
        <is>
          <t>DOWNLOAD</t>
        </is>
      </c>
      <c r="J1070" s="154" t="n">
        <v>0.06573486000000001</v>
      </c>
      <c r="K1070" s="154" t="inlineStr">
        <is>
          <t>Unread</t>
        </is>
      </c>
      <c r="L1070" s="158" t="n">
        <v>46196.40602565972</v>
      </c>
      <c r="M1070" s="154" t="inlineStr">
        <is>
          <t>6a3a332cd068d307edacdb9c</t>
        </is>
      </c>
    </row>
    <row r="1071">
      <c r="A1071" s="149" t="inlineStr">
        <is>
          <t>Project Notos</t>
        </is>
      </c>
      <c r="B1071" s="149" t="inlineStr">
        <is>
          <t>3.3</t>
        </is>
      </c>
      <c r="C1071" s="17" t="inlineStr">
        <is>
          <t>Rupert Fertinger (RF)</t>
        </is>
      </c>
      <c r="D1071" s="25" t="n"/>
      <c r="F1071" s="150">
        <f>HYPERLINK("https://app.global.datasite.com/platform/container/696652ec0dc07cc02daa26a0/documents/content/index/698cb7348a98cfb9f910d6d6","Rupert Fertinger (RF)")</f>
        <v/>
      </c>
      <c r="G1071" s="149" t="inlineStr">
        <is>
          <t>FOLDER</t>
        </is>
      </c>
      <c r="H1071" s="149" t="n"/>
      <c r="I1071" s="149" t="inlineStr">
        <is>
          <t>DOWNLOAD</t>
        </is>
      </c>
      <c r="J1071" s="149" t="n"/>
      <c r="K1071" s="149" t="inlineStr">
        <is>
          <t>Unread</t>
        </is>
      </c>
      <c r="L1071" s="152" t="n">
        <v>46176.92764111111</v>
      </c>
      <c r="M1071" s="149" t="inlineStr">
        <is>
          <t>698cb7348a98cfb9f910d6d6</t>
        </is>
      </c>
    </row>
    <row r="1072">
      <c r="A1072" s="149" t="inlineStr">
        <is>
          <t>Project Notos</t>
        </is>
      </c>
      <c r="B1072" s="149" t="inlineStr">
        <is>
          <t>3.3.1</t>
        </is>
      </c>
      <c r="C1072" s="17" t="inlineStr">
        <is>
          <t>Tax compliance</t>
        </is>
      </c>
      <c r="D1072" s="25" t="n"/>
      <c r="F1072" s="150">
        <f>HYPERLINK("https://app.global.datasite.com/platform/container/696652ec0dc07cc02daa26a0/documents/content/index/69dc9c1c3fa59166bc0ae757","Tax compliance")</f>
        <v/>
      </c>
      <c r="G1072" s="149" t="inlineStr">
        <is>
          <t>FOLDER</t>
        </is>
      </c>
      <c r="H1072" s="149" t="n"/>
      <c r="I1072" s="149" t="inlineStr">
        <is>
          <t>DOWNLOAD</t>
        </is>
      </c>
      <c r="J1072" s="149" t="n"/>
      <c r="K1072" s="149" t="inlineStr">
        <is>
          <t>Unread</t>
        </is>
      </c>
      <c r="L1072" s="152" t="n">
        <v>46176.92764111111</v>
      </c>
      <c r="M1072" s="149" t="inlineStr">
        <is>
          <t>69dc9c1c3fa59166bc0ae757</t>
        </is>
      </c>
    </row>
    <row r="1073">
      <c r="A1073" t="inlineStr">
        <is>
          <t>Project Notos</t>
        </is>
      </c>
      <c r="B1073" t="inlineStr">
        <is>
          <t>3.3.1.1</t>
        </is>
      </c>
      <c r="C1073" s="15" t="inlineStr">
        <is>
          <t>260408_Overview Tax</t>
        </is>
      </c>
      <c r="D1073" s="20" t="inlineStr">
        <is>
          <t>Out-of-Scope</t>
        </is>
      </c>
      <c r="F1073" s="151">
        <f>HYPERLINK("https://app.global.datasite.com/webviewer/?projectId=696652ec0dc07cc02daa26a0&amp;documentId=69e0cdea2fd2970aedfa3bf5","260408_Overview Tax")</f>
        <v/>
      </c>
      <c r="G1073" t="inlineStr">
        <is>
          <t>DOCUMENT</t>
        </is>
      </c>
      <c r="H1073" t="inlineStr">
        <is>
          <t>xlsx</t>
        </is>
      </c>
      <c r="I1073" t="inlineStr">
        <is>
          <t>DOWNLOAD</t>
        </is>
      </c>
      <c r="J1073" t="n">
        <v>0.009603499999999999</v>
      </c>
      <c r="K1073" t="inlineStr">
        <is>
          <t>Unread</t>
        </is>
      </c>
      <c r="L1073" s="153" t="n">
        <v>46176.92764111111</v>
      </c>
      <c r="M1073" t="inlineStr">
        <is>
          <t>69e0cdea2fd2970aedfa3bf5</t>
        </is>
      </c>
    </row>
    <row r="1074">
      <c r="A1074" t="inlineStr">
        <is>
          <t>Project Notos</t>
        </is>
      </c>
      <c r="B1074" t="inlineStr">
        <is>
          <t>3.3.1.2</t>
        </is>
      </c>
      <c r="C1074" s="15" t="inlineStr">
        <is>
          <t>RF Finanzamt 8.4.26</t>
        </is>
      </c>
      <c r="D1074" s="20" t="inlineStr">
        <is>
          <t>Out-of-Scope</t>
        </is>
      </c>
      <c r="F1074" s="151">
        <f>HYPERLINK("https://app.global.datasite.com/webviewer/?projectId=696652ec0dc07cc02daa26a0&amp;documentId=69e0cf2d7ff004c21af4b39e","RF Finanzamt 8.4.26")</f>
        <v/>
      </c>
      <c r="G1074" t="inlineStr">
        <is>
          <t>DOCUMENT</t>
        </is>
      </c>
      <c r="H1074" t="inlineStr">
        <is>
          <t>pdf</t>
        </is>
      </c>
      <c r="I1074" t="inlineStr">
        <is>
          <t>DOWNLOAD</t>
        </is>
      </c>
      <c r="J1074" t="n">
        <v>2.70405197</v>
      </c>
      <c r="K1074" t="inlineStr">
        <is>
          <t>Unread</t>
        </is>
      </c>
      <c r="L1074" s="153" t="n">
        <v>46176.92764111111</v>
      </c>
      <c r="M1074" t="inlineStr">
        <is>
          <t>69e0cf2d7ff004c21af4b39e</t>
        </is>
      </c>
    </row>
    <row r="1075">
      <c r="A1075" s="154" t="inlineStr">
        <is>
          <t>Project Notos</t>
        </is>
      </c>
      <c r="B1075" s="154" t="inlineStr">
        <is>
          <t>3.3.1.3</t>
        </is>
      </c>
      <c r="C1075" s="155" t="inlineStr">
        <is>
          <t>RF Finanzamt 1.1.24</t>
        </is>
      </c>
      <c r="D1075" s="156" t="n"/>
      <c r="E1075" s="156" t="n"/>
      <c r="F1075" s="157">
        <f>HYPERLINK("https://app.global.datasite.com/webviewer/?projectId=696652ec0dc07cc02daa26a0&amp;documentId=6a3d509d1dbcfa9a411d8c61","RF Finanzamt 1.1.24")</f>
        <v/>
      </c>
      <c r="G1075" s="154" t="inlineStr">
        <is>
          <t>DOCUMENT</t>
        </is>
      </c>
      <c r="H1075" s="154" t="inlineStr">
        <is>
          <t>pdf</t>
        </is>
      </c>
      <c r="I1075" s="154" t="inlineStr">
        <is>
          <t>DOWNLOAD</t>
        </is>
      </c>
      <c r="J1075" s="154" t="n">
        <v>0.12672901</v>
      </c>
      <c r="K1075" s="154" t="inlineStr">
        <is>
          <t>Unread</t>
        </is>
      </c>
      <c r="L1075" s="158" t="n">
        <v>46198.76498732639</v>
      </c>
      <c r="M1075" s="154" t="inlineStr">
        <is>
          <t>6a3d509d1dbcfa9a411d8c61</t>
        </is>
      </c>
    </row>
    <row r="1076">
      <c r="A1076" s="149" t="inlineStr">
        <is>
          <t>Project Notos</t>
        </is>
      </c>
      <c r="B1076" s="149" t="inlineStr">
        <is>
          <t>3.3.2</t>
        </is>
      </c>
      <c r="C1076" s="17" t="inlineStr">
        <is>
          <t>CIT</t>
        </is>
      </c>
      <c r="D1076" s="25" t="n"/>
      <c r="F1076" s="150">
        <f>HYPERLINK("https://app.global.datasite.com/platform/container/696652ec0dc07cc02daa26a0/documents/content/index/69dc9c1c3fa59166bc0ae758","CIT")</f>
        <v/>
      </c>
      <c r="G1076" s="149" t="inlineStr">
        <is>
          <t>FOLDER</t>
        </is>
      </c>
      <c r="H1076" s="149" t="n"/>
      <c r="I1076" s="149" t="inlineStr">
        <is>
          <t>DOWNLOAD</t>
        </is>
      </c>
      <c r="J1076" s="149" t="n"/>
      <c r="K1076" s="149" t="inlineStr">
        <is>
          <t>Unread</t>
        </is>
      </c>
      <c r="L1076" s="152" t="n">
        <v>46176.92764111111</v>
      </c>
      <c r="M1076" s="149" t="inlineStr">
        <is>
          <t>69dc9c1c3fa59166bc0ae758</t>
        </is>
      </c>
    </row>
    <row r="1077">
      <c r="A1077" t="inlineStr">
        <is>
          <t>Project Notos</t>
        </is>
      </c>
      <c r="B1077" t="inlineStr">
        <is>
          <t>3.3.2.1</t>
        </is>
      </c>
      <c r="C1077" s="15" t="inlineStr">
        <is>
          <t>K1 2023</t>
        </is>
      </c>
      <c r="D1077" s="20" t="inlineStr">
        <is>
          <t>Out-of-Scope</t>
        </is>
      </c>
      <c r="F1077" s="151">
        <f>HYPERLINK("https://app.global.datasite.com/webviewer/?projectId=696652ec0dc07cc02daa26a0&amp;documentId=69e0cfc7f976a76f20d74d43","K1 2023")</f>
        <v/>
      </c>
      <c r="G1077" t="inlineStr">
        <is>
          <t>DOCUMENT</t>
        </is>
      </c>
      <c r="H1077" t="inlineStr">
        <is>
          <t>pdf</t>
        </is>
      </c>
      <c r="I1077" t="inlineStr">
        <is>
          <t>DOWNLOAD</t>
        </is>
      </c>
      <c r="J1077" t="n">
        <v>0.12768077</v>
      </c>
      <c r="K1077" t="inlineStr">
        <is>
          <t>Unread</t>
        </is>
      </c>
      <c r="L1077" s="153" t="n">
        <v>46176.92764111111</v>
      </c>
      <c r="M1077" t="inlineStr">
        <is>
          <t>69e0cfc7f976a76f20d74d43</t>
        </is>
      </c>
    </row>
    <row r="1078">
      <c r="A1078" t="inlineStr">
        <is>
          <t>Project Notos</t>
        </is>
      </c>
      <c r="B1078" t="inlineStr">
        <is>
          <t>3.3.2.2</t>
        </is>
      </c>
      <c r="C1078" s="15" t="inlineStr">
        <is>
          <t>K1 2024</t>
        </is>
      </c>
      <c r="D1078" s="20" t="inlineStr">
        <is>
          <t>Out-of-Scope</t>
        </is>
      </c>
      <c r="F1078" s="151">
        <f>HYPERLINK("https://app.global.datasite.com/webviewer/?projectId=696652ec0dc07cc02daa26a0&amp;documentId=69e0cfc7f976a76f20d74d44","K1 2024")</f>
        <v/>
      </c>
      <c r="G1078" t="inlineStr">
        <is>
          <t>DOCUMENT</t>
        </is>
      </c>
      <c r="H1078" t="inlineStr">
        <is>
          <t>pdf</t>
        </is>
      </c>
      <c r="I1078" t="inlineStr">
        <is>
          <t>DOWNLOAD</t>
        </is>
      </c>
      <c r="J1078" t="n">
        <v>0.19409465</v>
      </c>
      <c r="K1078" t="inlineStr">
        <is>
          <t>Unread</t>
        </is>
      </c>
      <c r="L1078" s="153" t="n">
        <v>46176.92764111111</v>
      </c>
      <c r="M1078" t="inlineStr">
        <is>
          <t>69e0cfc7f976a76f20d74d44</t>
        </is>
      </c>
    </row>
    <row r="1079">
      <c r="A1079" t="inlineStr">
        <is>
          <t>Project Notos</t>
        </is>
      </c>
      <c r="B1079" t="inlineStr">
        <is>
          <t>3.3.2.3</t>
        </is>
      </c>
      <c r="C1079" s="15" t="inlineStr">
        <is>
          <t>RF MWR 2023</t>
        </is>
      </c>
      <c r="D1079" s="20" t="inlineStr">
        <is>
          <t>Out-of-Scope</t>
        </is>
      </c>
      <c r="F1079" s="151">
        <f>HYPERLINK("https://app.global.datasite.com/webviewer/?projectId=696652ec0dc07cc02daa26a0&amp;documentId=69e0cfc7f976a76f20d74d48","RF MWR 2023")</f>
        <v/>
      </c>
      <c r="G1079" t="inlineStr">
        <is>
          <t>DOCUMENT</t>
        </is>
      </c>
      <c r="H1079" t="inlineStr">
        <is>
          <t>pdf</t>
        </is>
      </c>
      <c r="I1079" t="inlineStr">
        <is>
          <t>DOWNLOAD</t>
        </is>
      </c>
      <c r="J1079" t="n">
        <v>0.04431056</v>
      </c>
      <c r="K1079" t="inlineStr">
        <is>
          <t>Unread</t>
        </is>
      </c>
      <c r="L1079" s="153" t="n">
        <v>46176.92764111111</v>
      </c>
      <c r="M1079" t="inlineStr">
        <is>
          <t>69e0cfc7f976a76f20d74d48</t>
        </is>
      </c>
    </row>
    <row r="1080">
      <c r="A1080" t="inlineStr">
        <is>
          <t>Project Notos</t>
        </is>
      </c>
      <c r="B1080" t="inlineStr">
        <is>
          <t>3.3.2.4</t>
        </is>
      </c>
      <c r="C1080" s="15" t="inlineStr">
        <is>
          <t>RF MWR 2024</t>
        </is>
      </c>
      <c r="D1080" s="20" t="inlineStr">
        <is>
          <t>Out-of-Scope</t>
        </is>
      </c>
      <c r="F1080" s="151">
        <f>HYPERLINK("https://app.global.datasite.com/webviewer/?projectId=696652ec0dc07cc02daa26a0&amp;documentId=69e0cfc7f976a76f20d74d49","RF MWR 2024")</f>
        <v/>
      </c>
      <c r="G1080" t="inlineStr">
        <is>
          <t>DOCUMENT</t>
        </is>
      </c>
      <c r="H1080" t="inlineStr">
        <is>
          <t>pdf</t>
        </is>
      </c>
      <c r="I1080" t="inlineStr">
        <is>
          <t>DOWNLOAD</t>
        </is>
      </c>
      <c r="J1080" t="n">
        <v>0.04420661</v>
      </c>
      <c r="K1080" t="inlineStr">
        <is>
          <t>Unread</t>
        </is>
      </c>
      <c r="L1080" s="153" t="n">
        <v>46176.92764111111</v>
      </c>
      <c r="M1080" t="inlineStr">
        <is>
          <t>69e0cfc7f976a76f20d74d49</t>
        </is>
      </c>
    </row>
    <row r="1081">
      <c r="A1081" t="inlineStr">
        <is>
          <t>Project Notos</t>
        </is>
      </c>
      <c r="B1081" t="inlineStr">
        <is>
          <t>3.3.2.5</t>
        </is>
      </c>
      <c r="C1081" s="15" t="inlineStr">
        <is>
          <t>Evi Konto per 31.12.2025</t>
        </is>
      </c>
      <c r="D1081" s="20" t="inlineStr">
        <is>
          <t>Out-of-Scope</t>
        </is>
      </c>
      <c r="F1081" s="151">
        <f>HYPERLINK("https://app.global.datasite.com/webviewer/?projectId=696652ec0dc07cc02daa26a0&amp;documentId=69e0cfc7f976a76f20d74d4a","Evi Konto per 31.12.2025")</f>
        <v/>
      </c>
      <c r="G1081" t="inlineStr">
        <is>
          <t>DOCUMENT</t>
        </is>
      </c>
      <c r="H1081" t="inlineStr">
        <is>
          <t>pdf</t>
        </is>
      </c>
      <c r="I1081" t="inlineStr">
        <is>
          <t>DOWNLOAD</t>
        </is>
      </c>
      <c r="J1081" t="n">
        <v>0.03542518</v>
      </c>
      <c r="K1081" t="inlineStr">
        <is>
          <t>Unread</t>
        </is>
      </c>
      <c r="L1081" s="153" t="n">
        <v>46176.92764111111</v>
      </c>
      <c r="M1081" t="inlineStr">
        <is>
          <t>69e0cfc7f976a76f20d74d4a</t>
        </is>
      </c>
    </row>
    <row r="1082">
      <c r="A1082" t="inlineStr">
        <is>
          <t>Project Notos</t>
        </is>
      </c>
      <c r="B1082" t="inlineStr">
        <is>
          <t>3.3.2.6</t>
        </is>
      </c>
      <c r="C1082" t="inlineStr">
        <is>
          <t>RF MWR 2025</t>
        </is>
      </c>
      <c r="D1082" s="20" t="inlineStr">
        <is>
          <t>Out-of-Scope</t>
        </is>
      </c>
      <c r="E1082" s="35" t="n"/>
      <c r="F1082" s="151" t="n">
        <v>0</v>
      </c>
      <c r="G1082" t="inlineStr">
        <is>
          <t>DOCUMENT</t>
        </is>
      </c>
      <c r="H1082" t="inlineStr">
        <is>
          <t>pdf</t>
        </is>
      </c>
      <c r="I1082" t="inlineStr">
        <is>
          <t>DOWNLOAD</t>
        </is>
      </c>
      <c r="J1082" t="n">
        <v>0.04321384</v>
      </c>
      <c r="K1082" t="inlineStr">
        <is>
          <t>Unread</t>
        </is>
      </c>
      <c r="L1082" s="153" t="n">
        <v>46192.69807664352</v>
      </c>
      <c r="M1082" t="inlineStr">
        <is>
          <t>6a3553c110e1cd3f4cd3cfc2</t>
        </is>
      </c>
    </row>
    <row r="1083">
      <c r="A1083" s="154" t="inlineStr">
        <is>
          <t>Project Notos</t>
        </is>
      </c>
      <c r="B1083" s="154" t="inlineStr">
        <is>
          <t>3.3.2.7</t>
        </is>
      </c>
      <c r="C1083" s="155" t="inlineStr">
        <is>
          <t>RF_Evidenzkonto 2024</t>
        </is>
      </c>
      <c r="D1083" s="156" t="n"/>
      <c r="E1083" s="156" t="n"/>
      <c r="F1083" s="157">
        <f>HYPERLINK("https://app.global.datasite.com/webviewer/?projectId=696652ec0dc07cc02daa26a0&amp;documentId=6a38f88b29b99e87e3b2c8d1","RF_Evidenzkonto 2024")</f>
        <v/>
      </c>
      <c r="G1083" s="154" t="inlineStr">
        <is>
          <t>DOCUMENT</t>
        </is>
      </c>
      <c r="H1083" s="154" t="inlineStr">
        <is>
          <t>pdf</t>
        </is>
      </c>
      <c r="I1083" s="154" t="inlineStr">
        <is>
          <t>DOWNLOAD</t>
        </is>
      </c>
      <c r="J1083" s="154" t="n">
        <v>0.008930199999999999</v>
      </c>
      <c r="K1083" s="154" t="inlineStr">
        <is>
          <t>Unread</t>
        </is>
      </c>
      <c r="L1083" s="158" t="n">
        <v>46195.46559939815</v>
      </c>
      <c r="M1083" s="154" t="inlineStr">
        <is>
          <t>6a38f88b29b99e87e3b2c8d1</t>
        </is>
      </c>
    </row>
    <row r="1084">
      <c r="A1084" s="154" t="inlineStr">
        <is>
          <t>Project Notos</t>
        </is>
      </c>
      <c r="B1084" s="154" t="inlineStr">
        <is>
          <t>3.3.2.8</t>
        </is>
      </c>
      <c r="C1084" s="155" t="inlineStr">
        <is>
          <t>RF_Evidenzkonto 2023</t>
        </is>
      </c>
      <c r="D1084" s="156" t="n"/>
      <c r="E1084" s="156" t="n"/>
      <c r="F1084" s="157">
        <f>HYPERLINK("https://app.global.datasite.com/webviewer/?projectId=696652ec0dc07cc02daa26a0&amp;documentId=6a38f8a21b77007f0fc350f7","RF_Evidenzkonto 2023")</f>
        <v/>
      </c>
      <c r="G1084" s="154" t="inlineStr">
        <is>
          <t>DOCUMENT</t>
        </is>
      </c>
      <c r="H1084" s="154" t="inlineStr">
        <is>
          <t>pdf</t>
        </is>
      </c>
      <c r="I1084" s="154" t="inlineStr">
        <is>
          <t>DOWNLOAD</t>
        </is>
      </c>
      <c r="J1084" s="154" t="n">
        <v>0.0089178</v>
      </c>
      <c r="K1084" s="154" t="inlineStr">
        <is>
          <t>Unread</t>
        </is>
      </c>
      <c r="L1084" s="158" t="n">
        <v>46195.46554726852</v>
      </c>
      <c r="M1084" s="154" t="inlineStr">
        <is>
          <t>6a38f8a21b77007f0fc350f7</t>
        </is>
      </c>
    </row>
    <row r="1085">
      <c r="A1085" s="149" t="inlineStr">
        <is>
          <t>Project Notos</t>
        </is>
      </c>
      <c r="B1085" s="149" t="inlineStr">
        <is>
          <t>3.3.3</t>
        </is>
      </c>
      <c r="C1085" s="17" t="inlineStr">
        <is>
          <t>VAT</t>
        </is>
      </c>
      <c r="D1085" s="25" t="n"/>
      <c r="F1085" s="150">
        <f>HYPERLINK("https://app.global.datasite.com/platform/container/696652ec0dc07cc02daa26a0/documents/content/index/69dc9c1c3fa59166bc0ae759","VAT")</f>
        <v/>
      </c>
      <c r="G1085" s="149" t="inlineStr">
        <is>
          <t>FOLDER</t>
        </is>
      </c>
      <c r="H1085" s="149" t="n"/>
      <c r="I1085" s="149" t="inlineStr">
        <is>
          <t>DOWNLOAD</t>
        </is>
      </c>
      <c r="J1085" s="149" t="n"/>
      <c r="K1085" s="149" t="inlineStr">
        <is>
          <t>Unread</t>
        </is>
      </c>
      <c r="L1085" s="152" t="n">
        <v>46176.92764111111</v>
      </c>
      <c r="M1085" s="149" t="inlineStr">
        <is>
          <t>69dc9c1c3fa59166bc0ae759</t>
        </is>
      </c>
    </row>
    <row r="1086">
      <c r="A1086" t="inlineStr">
        <is>
          <t>Project Notos</t>
        </is>
      </c>
      <c r="B1086" t="inlineStr">
        <is>
          <t>3.3.3.1</t>
        </is>
      </c>
      <c r="C1086" s="15" t="inlineStr">
        <is>
          <t>U1 2023</t>
        </is>
      </c>
      <c r="D1086" s="20" t="inlineStr">
        <is>
          <t>Out-of-Scope</t>
        </is>
      </c>
      <c r="F1086" s="151">
        <f>HYPERLINK("https://app.global.datasite.com/webviewer/?projectId=696652ec0dc07cc02daa26a0&amp;documentId=69e0d07d07bcb1d7b6b4f1de","U1 2023")</f>
        <v/>
      </c>
      <c r="G1086" t="inlineStr">
        <is>
          <t>DOCUMENT</t>
        </is>
      </c>
      <c r="H1086" t="inlineStr">
        <is>
          <t>pdf</t>
        </is>
      </c>
      <c r="I1086" t="inlineStr">
        <is>
          <t>DOWNLOAD</t>
        </is>
      </c>
      <c r="J1086" t="n">
        <v>0.07392691999999999</v>
      </c>
      <c r="K1086" t="inlineStr">
        <is>
          <t>Unread</t>
        </is>
      </c>
      <c r="L1086" s="153" t="n">
        <v>46176.92764111111</v>
      </c>
      <c r="M1086" t="inlineStr">
        <is>
          <t>69e0d07d07bcb1d7b6b4f1de</t>
        </is>
      </c>
    </row>
    <row r="1087">
      <c r="A1087" t="inlineStr">
        <is>
          <t>Project Notos</t>
        </is>
      </c>
      <c r="B1087" t="inlineStr">
        <is>
          <t>3.3.3.2</t>
        </is>
      </c>
      <c r="C1087" s="15" t="inlineStr">
        <is>
          <t>U1 2024</t>
        </is>
      </c>
      <c r="D1087" s="20" t="inlineStr">
        <is>
          <t>Out-of-Scope</t>
        </is>
      </c>
      <c r="F1087" s="151">
        <f>HYPERLINK("https://app.global.datasite.com/webviewer/?projectId=696652ec0dc07cc02daa26a0&amp;documentId=69e0d07d07bcb1d7b6b4f1df","U1 2024")</f>
        <v/>
      </c>
      <c r="G1087" t="inlineStr">
        <is>
          <t>DOCUMENT</t>
        </is>
      </c>
      <c r="H1087" t="inlineStr">
        <is>
          <t>pdf</t>
        </is>
      </c>
      <c r="I1087" t="inlineStr">
        <is>
          <t>DOWNLOAD</t>
        </is>
      </c>
      <c r="J1087" t="n">
        <v>0.06523895</v>
      </c>
      <c r="K1087" t="inlineStr">
        <is>
          <t>Unread</t>
        </is>
      </c>
      <c r="L1087" s="153" t="n">
        <v>46176.92764111111</v>
      </c>
      <c r="M1087" t="inlineStr">
        <is>
          <t>69e0d07d07bcb1d7b6b4f1df</t>
        </is>
      </c>
    </row>
    <row r="1088">
      <c r="A1088" t="inlineStr">
        <is>
          <t>Project Notos</t>
        </is>
      </c>
      <c r="B1088" t="inlineStr">
        <is>
          <t>3.3.3.3</t>
        </is>
      </c>
      <c r="C1088" t="inlineStr">
        <is>
          <t>RF_2025_VAT returns</t>
        </is>
      </c>
      <c r="D1088" s="20" t="inlineStr">
        <is>
          <t>Out-of-Scope</t>
        </is>
      </c>
      <c r="E1088" s="35" t="n"/>
      <c r="F1088" s="151" t="n">
        <v>0</v>
      </c>
      <c r="G1088" t="inlineStr">
        <is>
          <t>DOCUMENT</t>
        </is>
      </c>
      <c r="H1088" t="inlineStr">
        <is>
          <t>xlsx</t>
        </is>
      </c>
      <c r="I1088" t="inlineStr">
        <is>
          <t>DOWNLOAD</t>
        </is>
      </c>
      <c r="J1088" t="n">
        <v>0.01412868</v>
      </c>
      <c r="K1088" t="inlineStr">
        <is>
          <t>Unread</t>
        </is>
      </c>
      <c r="L1088" s="153" t="n">
        <v>46192.53590015046</v>
      </c>
      <c r="M1088" t="inlineStr">
        <is>
          <t>6a351ec0319d689ab10eedbe</t>
        </is>
      </c>
    </row>
    <row r="1089">
      <c r="A1089" s="149" t="inlineStr">
        <is>
          <t>Project Notos</t>
        </is>
      </c>
      <c r="B1089" s="149" t="inlineStr">
        <is>
          <t>3.3.4</t>
        </is>
      </c>
      <c r="C1089" s="17" t="inlineStr">
        <is>
          <t>Assessment notices</t>
        </is>
      </c>
      <c r="D1089" s="25" t="n"/>
      <c r="F1089" s="150">
        <f>HYPERLINK("https://app.global.datasite.com/platform/container/696652ec0dc07cc02daa26a0/documents/content/index/69dc9c1c3fa59166bc0ae75a","Assessment notices")</f>
        <v/>
      </c>
      <c r="G1089" s="149" t="inlineStr">
        <is>
          <t>FOLDER</t>
        </is>
      </c>
      <c r="H1089" s="149" t="n"/>
      <c r="I1089" s="149" t="inlineStr">
        <is>
          <t>DOWNLOAD</t>
        </is>
      </c>
      <c r="J1089" s="149" t="n"/>
      <c r="K1089" s="149" t="inlineStr">
        <is>
          <t>Unread</t>
        </is>
      </c>
      <c r="L1089" s="152" t="n">
        <v>46176.92764111111</v>
      </c>
      <c r="M1089" s="149" t="inlineStr">
        <is>
          <t>69dc9c1c3fa59166bc0ae75a</t>
        </is>
      </c>
    </row>
    <row r="1090">
      <c r="A1090" t="inlineStr">
        <is>
          <t>Project Notos</t>
        </is>
      </c>
      <c r="B1090" t="inlineStr">
        <is>
          <t>3.3.4.1</t>
        </is>
      </c>
      <c r="C1090" s="15" t="inlineStr">
        <is>
          <t>KÖST Bescheid 2023</t>
        </is>
      </c>
      <c r="D1090" s="20" t="inlineStr">
        <is>
          <t>Out-of-Scope</t>
        </is>
      </c>
      <c r="F1090" s="151">
        <f>HYPERLINK("https://app.global.datasite.com/webviewer/?projectId=696652ec0dc07cc02daa26a0&amp;documentId=69e0d0bd2fd2970aedfa3c9b","KÖST Bescheid 2023")</f>
        <v/>
      </c>
      <c r="G1090" t="inlineStr">
        <is>
          <t>DOCUMENT</t>
        </is>
      </c>
      <c r="H1090" t="inlineStr">
        <is>
          <t>pdf</t>
        </is>
      </c>
      <c r="I1090" t="inlineStr">
        <is>
          <t>DOWNLOAD</t>
        </is>
      </c>
      <c r="J1090" t="n">
        <v>0.43397808</v>
      </c>
      <c r="K1090" t="inlineStr">
        <is>
          <t>Unread</t>
        </is>
      </c>
      <c r="L1090" s="153" t="n">
        <v>46176.92764111111</v>
      </c>
      <c r="M1090" t="inlineStr">
        <is>
          <t>69e0d0bd2fd2970aedfa3c9b</t>
        </is>
      </c>
    </row>
    <row r="1091">
      <c r="A1091" t="inlineStr">
        <is>
          <t>Project Notos</t>
        </is>
      </c>
      <c r="B1091" t="inlineStr">
        <is>
          <t>3.3.4.2</t>
        </is>
      </c>
      <c r="C1091" s="15" t="inlineStr">
        <is>
          <t>20250410_Umsatzsteuerbescheid 2023_RF</t>
        </is>
      </c>
      <c r="D1091" s="20" t="inlineStr">
        <is>
          <t>Out-of-Scope</t>
        </is>
      </c>
      <c r="F1091" s="151">
        <f>HYPERLINK("https://app.global.datasite.com/webviewer/?projectId=696652ec0dc07cc02daa26a0&amp;documentId=69e0d0bd2fd2970aedfa3c9d","20250410_Umsatzsteuerbescheid 2023_RF")</f>
        <v/>
      </c>
      <c r="G1091" t="inlineStr">
        <is>
          <t>DOCUMENT</t>
        </is>
      </c>
      <c r="H1091" t="inlineStr">
        <is>
          <t>pdf</t>
        </is>
      </c>
      <c r="I1091" t="inlineStr">
        <is>
          <t>DOWNLOAD</t>
        </is>
      </c>
      <c r="J1091" t="n">
        <v>0.46129131</v>
      </c>
      <c r="K1091" t="inlineStr">
        <is>
          <t>Unread</t>
        </is>
      </c>
      <c r="L1091" s="153" t="n">
        <v>46176.92764111111</v>
      </c>
      <c r="M1091" t="inlineStr">
        <is>
          <t>69e0d0bd2fd2970aedfa3c9d</t>
        </is>
      </c>
    </row>
    <row r="1092">
      <c r="A1092" s="149" t="inlineStr">
        <is>
          <t>Project Notos</t>
        </is>
      </c>
      <c r="B1092" s="149" t="inlineStr">
        <is>
          <t>3.3.5</t>
        </is>
      </c>
      <c r="C1092" s="17" t="inlineStr">
        <is>
          <t>TLCF</t>
        </is>
      </c>
      <c r="D1092" s="25" t="n"/>
      <c r="F1092" s="150">
        <f>HYPERLINK("https://app.global.datasite.com/platform/container/696652ec0dc07cc02daa26a0/documents/content/index/69dc9c1c3fa59166bc0ae75b","TLCF")</f>
        <v/>
      </c>
      <c r="G1092" s="149" t="inlineStr">
        <is>
          <t>FOLDER</t>
        </is>
      </c>
      <c r="H1092" s="149" t="n"/>
      <c r="I1092" s="149" t="inlineStr">
        <is>
          <t>DOWNLOAD</t>
        </is>
      </c>
      <c r="J1092" s="149" t="n"/>
      <c r="K1092" s="149" t="inlineStr">
        <is>
          <t>Unread</t>
        </is>
      </c>
      <c r="L1092" s="152" t="n">
        <v>46176.92764111111</v>
      </c>
      <c r="M1092" s="149" t="inlineStr">
        <is>
          <t>69dc9c1c3fa59166bc0ae75b</t>
        </is>
      </c>
    </row>
    <row r="1093">
      <c r="A1093" t="inlineStr">
        <is>
          <t>Project Notos</t>
        </is>
      </c>
      <c r="B1093" t="inlineStr">
        <is>
          <t>3.3.5.1</t>
        </is>
      </c>
      <c r="C1093" s="15" t="inlineStr">
        <is>
          <t>Übersicht der steuerlichen Verlustvorträge</t>
        </is>
      </c>
      <c r="D1093" s="20" t="inlineStr">
        <is>
          <t>Out-of-Scope</t>
        </is>
      </c>
      <c r="F1093" s="151">
        <f>HYPERLINK("https://app.global.datasite.com/webviewer/?projectId=696652ec0dc07cc02daa26a0&amp;documentId=69e0d0ec8b34ba225fc0cdcc","Übersicht der steuerlichen Verlustvorträge")</f>
        <v/>
      </c>
      <c r="G1093" t="inlineStr">
        <is>
          <t>DOCUMENT</t>
        </is>
      </c>
      <c r="H1093" t="inlineStr">
        <is>
          <t>pdf</t>
        </is>
      </c>
      <c r="I1093" t="inlineStr">
        <is>
          <t>DOWNLOAD</t>
        </is>
      </c>
      <c r="J1093" t="n">
        <v>0.00445652</v>
      </c>
      <c r="K1093" t="inlineStr">
        <is>
          <t>Unread</t>
        </is>
      </c>
      <c r="L1093" s="153" t="n">
        <v>46176.92764111111</v>
      </c>
      <c r="M1093" t="inlineStr">
        <is>
          <t>69e0d0ec8b34ba225fc0cdcc</t>
        </is>
      </c>
    </row>
    <row r="1094">
      <c r="A1094" s="149" t="inlineStr">
        <is>
          <t>Project Notos</t>
        </is>
      </c>
      <c r="B1094" s="149" t="inlineStr">
        <is>
          <t>3.3.6</t>
        </is>
      </c>
      <c r="C1094" s="17" t="inlineStr">
        <is>
          <t>Tax audits</t>
        </is>
      </c>
      <c r="D1094" s="25" t="n"/>
      <c r="F1094" s="150">
        <f>HYPERLINK("https://app.global.datasite.com/platform/container/696652ec0dc07cc02daa26a0/documents/content/index/69dc9c1c3fa59166bc0ae75c","Tax audits")</f>
        <v/>
      </c>
      <c r="G1094" s="149" t="inlineStr">
        <is>
          <t>FOLDER</t>
        </is>
      </c>
      <c r="H1094" s="149" t="n"/>
      <c r="I1094" s="149" t="inlineStr">
        <is>
          <t>DOWNLOAD</t>
        </is>
      </c>
      <c r="J1094" s="149" t="n"/>
      <c r="K1094" s="149" t="inlineStr">
        <is>
          <t>Unread</t>
        </is>
      </c>
      <c r="L1094" s="152" t="n">
        <v>46176.92764111111</v>
      </c>
      <c r="M1094" s="149" t="inlineStr">
        <is>
          <t>69dc9c1c3fa59166bc0ae75c</t>
        </is>
      </c>
    </row>
    <row r="1095">
      <c r="A1095" t="inlineStr">
        <is>
          <t>Project Notos</t>
        </is>
      </c>
      <c r="B1095" t="inlineStr">
        <is>
          <t>3.3.6.1</t>
        </is>
      </c>
      <c r="C1095" s="15" t="inlineStr">
        <is>
          <t>Bescheid BPBERI  für RUPERT FERTINGER GESMBH</t>
        </is>
      </c>
      <c r="D1095" s="20" t="inlineStr">
        <is>
          <t>Out-of-Scope</t>
        </is>
      </c>
      <c r="F1095" s="151">
        <f>HYPERLINK("https://app.global.datasite.com/webviewer/?projectId=696652ec0dc07cc02daa26a0&amp;documentId=69e0d0fdef2613ce48af9d98","Bescheid BPBERI  für RUPERT FERTINGER GESMBH")</f>
        <v/>
      </c>
      <c r="G1095" t="inlineStr">
        <is>
          <t>DOCUMENT</t>
        </is>
      </c>
      <c r="H1095" t="inlineStr">
        <is>
          <t>pdf</t>
        </is>
      </c>
      <c r="I1095" t="inlineStr">
        <is>
          <t>DOWNLOAD</t>
        </is>
      </c>
      <c r="J1095" t="n">
        <v>0.00439262</v>
      </c>
      <c r="K1095" t="inlineStr">
        <is>
          <t>Unread</t>
        </is>
      </c>
      <c r="L1095" s="153" t="n">
        <v>46176.92764111111</v>
      </c>
      <c r="M1095" t="inlineStr">
        <is>
          <t>69e0d0fdef2613ce48af9d98</t>
        </is>
      </c>
    </row>
    <row r="1096">
      <c r="A1096" s="149" t="inlineStr">
        <is>
          <t>Project Notos</t>
        </is>
      </c>
      <c r="B1096" s="149" t="inlineStr">
        <is>
          <t>3.3.7</t>
        </is>
      </c>
      <c r="C1096" s="17" t="inlineStr">
        <is>
          <t>CIT group</t>
        </is>
      </c>
      <c r="D1096" s="25" t="n"/>
      <c r="F1096" s="150">
        <f>HYPERLINK("https://app.global.datasite.com/platform/container/696652ec0dc07cc02daa26a0/documents/content/index/69dc9c1c3fa59166bc0ae75e","CIT group")</f>
        <v/>
      </c>
      <c r="G1096" s="149" t="inlineStr">
        <is>
          <t>FOLDER</t>
        </is>
      </c>
      <c r="H1096" s="149" t="n"/>
      <c r="I1096" s="149" t="inlineStr">
        <is>
          <t>DOWNLOAD</t>
        </is>
      </c>
      <c r="J1096" s="149" t="n"/>
      <c r="K1096" s="149" t="inlineStr">
        <is>
          <t>Unread</t>
        </is>
      </c>
      <c r="L1096" s="152" t="n">
        <v>46176.92764111111</v>
      </c>
      <c r="M1096" s="149" t="inlineStr">
        <is>
          <t>69dc9c1c3fa59166bc0ae75e</t>
        </is>
      </c>
    </row>
    <row r="1097">
      <c r="A1097" t="inlineStr">
        <is>
          <t>Project Notos</t>
        </is>
      </c>
      <c r="B1097" t="inlineStr">
        <is>
          <t>3.3.7.1</t>
        </is>
      </c>
      <c r="C1097" s="15" t="inlineStr">
        <is>
          <t>250205_Gruppenfeststellungsbescheid 2024_RF</t>
        </is>
      </c>
      <c r="D1097" s="20" t="inlineStr">
        <is>
          <t>Out-of-Scope</t>
        </is>
      </c>
      <c r="F1097" s="151">
        <f>HYPERLINK("https://app.global.datasite.com/webviewer/?projectId=696652ec0dc07cc02daa26a0&amp;documentId=69e1d578d499fb56b2d766c0","250205_Gruppenfeststellungsbescheid 2024_RF")</f>
        <v/>
      </c>
      <c r="G1097" t="inlineStr">
        <is>
          <t>DOCUMENT</t>
        </is>
      </c>
      <c r="H1097" t="inlineStr">
        <is>
          <t>pdf</t>
        </is>
      </c>
      <c r="I1097" t="inlineStr">
        <is>
          <t>DOWNLOAD</t>
        </is>
      </c>
      <c r="J1097" t="n">
        <v>0.37748718</v>
      </c>
      <c r="K1097" t="inlineStr">
        <is>
          <t>Unread</t>
        </is>
      </c>
      <c r="L1097" s="153" t="n">
        <v>46176.92764111111</v>
      </c>
      <c r="M1097" t="inlineStr">
        <is>
          <t>69e1d578d499fb56b2d766c0</t>
        </is>
      </c>
    </row>
    <row r="1098">
      <c r="A1098" t="inlineStr">
        <is>
          <t>Project Notos</t>
        </is>
      </c>
      <c r="B1098" t="inlineStr">
        <is>
          <t>3.3.7.2</t>
        </is>
      </c>
      <c r="C1098" s="15" t="inlineStr">
        <is>
          <t>Organschaft_Gruppenbesteuerung</t>
        </is>
      </c>
      <c r="D1098" s="20" t="inlineStr">
        <is>
          <t>Out-of-Scope</t>
        </is>
      </c>
      <c r="F1098" s="151">
        <f>HYPERLINK("https://app.global.datasite.com/webviewer/?projectId=696652ec0dc07cc02daa26a0&amp;documentId=69e20060253932bb73c9fa17","Organschaft_Gruppenbesteuerung")</f>
        <v/>
      </c>
      <c r="G1098" t="inlineStr">
        <is>
          <t>DOCUMENT</t>
        </is>
      </c>
      <c r="H1098" t="inlineStr">
        <is>
          <t>pdf</t>
        </is>
      </c>
      <c r="I1098" t="inlineStr">
        <is>
          <t>DOWNLOAD</t>
        </is>
      </c>
      <c r="J1098" t="n">
        <v>0.0170288</v>
      </c>
      <c r="K1098" t="inlineStr">
        <is>
          <t>Unread</t>
        </is>
      </c>
      <c r="L1098" s="153" t="n">
        <v>46176.92764111111</v>
      </c>
      <c r="M1098" t="inlineStr">
        <is>
          <t>69e20060253932bb73c9fa17</t>
        </is>
      </c>
    </row>
    <row r="1099">
      <c r="A1099" s="149" t="inlineStr">
        <is>
          <t>Project Notos</t>
        </is>
      </c>
      <c r="B1099" s="149" t="inlineStr">
        <is>
          <t>3.3.8</t>
        </is>
      </c>
      <c r="C1099" s="17" t="inlineStr">
        <is>
          <t>Other</t>
        </is>
      </c>
      <c r="D1099" s="25" t="n"/>
      <c r="F1099" s="150">
        <f>HYPERLINK("https://app.global.datasite.com/platform/container/696652ec0dc07cc02daa26a0/documents/content/index/69dc9c1c3fa59166bc0ae760","Other")</f>
        <v/>
      </c>
      <c r="G1099" s="149" t="inlineStr">
        <is>
          <t>FOLDER</t>
        </is>
      </c>
      <c r="H1099" s="149" t="n"/>
      <c r="I1099" s="149" t="inlineStr">
        <is>
          <t>DOWNLOAD</t>
        </is>
      </c>
      <c r="J1099" s="149" t="n"/>
      <c r="K1099" s="149" t="inlineStr">
        <is>
          <t>Unread</t>
        </is>
      </c>
      <c r="L1099" s="152" t="n">
        <v>46176.92764111111</v>
      </c>
      <c r="M1099" s="149" t="inlineStr">
        <is>
          <t>69dc9c1c3fa59166bc0ae760</t>
        </is>
      </c>
    </row>
    <row r="1100">
      <c r="A1100" s="149" t="inlineStr">
        <is>
          <t>Project Notos</t>
        </is>
      </c>
      <c r="B1100" s="149" t="inlineStr">
        <is>
          <t>3.3.8.1</t>
        </is>
      </c>
      <c r="C1100" s="17" t="inlineStr">
        <is>
          <t>WiEReG</t>
        </is>
      </c>
      <c r="D1100" s="25" t="n"/>
      <c r="F1100" s="150">
        <f>HYPERLINK("https://app.global.datasite.com/platform/container/696652ec0dc07cc02daa26a0/documents/content/index/69dc9c1c3fa59166bc0ae761","WiEReG")</f>
        <v/>
      </c>
      <c r="G1100" s="149" t="inlineStr">
        <is>
          <t>FOLDER</t>
        </is>
      </c>
      <c r="H1100" s="149" t="n"/>
      <c r="I1100" s="149" t="inlineStr">
        <is>
          <t>DOWNLOAD</t>
        </is>
      </c>
      <c r="J1100" s="149" t="n"/>
      <c r="K1100" s="149" t="inlineStr">
        <is>
          <t>Unread</t>
        </is>
      </c>
      <c r="L1100" s="152" t="n">
        <v>46176.92764111111</v>
      </c>
      <c r="M1100" s="149" t="inlineStr">
        <is>
          <t>69dc9c1c3fa59166bc0ae761</t>
        </is>
      </c>
    </row>
    <row r="1101">
      <c r="A1101" t="inlineStr">
        <is>
          <t>Project Notos</t>
        </is>
      </c>
      <c r="B1101" t="inlineStr">
        <is>
          <t>3.3.8.1.1</t>
        </is>
      </c>
      <c r="C1101" s="15" t="inlineStr">
        <is>
          <t>WiEReG-Meldung_RF_2026</t>
        </is>
      </c>
      <c r="D1101" s="20" t="inlineStr">
        <is>
          <t>Out-of-Scope</t>
        </is>
      </c>
      <c r="F1101" s="151">
        <f>HYPERLINK("https://app.global.datasite.com/webviewer/?projectId=696652ec0dc07cc02daa26a0&amp;documentId=69e0d2048b34ba225fc0ce05","WiEReG-Meldung_RF_2026")</f>
        <v/>
      </c>
      <c r="G1101" t="inlineStr">
        <is>
          <t>DOCUMENT</t>
        </is>
      </c>
      <c r="H1101" t="inlineStr">
        <is>
          <t>pdf</t>
        </is>
      </c>
      <c r="I1101" t="inlineStr">
        <is>
          <t>DOWNLOAD</t>
        </is>
      </c>
      <c r="J1101" t="n">
        <v>0.05501747</v>
      </c>
      <c r="K1101" t="inlineStr">
        <is>
          <t>Unread</t>
        </is>
      </c>
      <c r="L1101" s="153" t="n">
        <v>46176.92764111111</v>
      </c>
      <c r="M1101" t="inlineStr">
        <is>
          <t>69e0d2048b34ba225fc0ce05</t>
        </is>
      </c>
    </row>
    <row r="1102">
      <c r="A1102" s="154" t="inlineStr">
        <is>
          <t>Project Notos</t>
        </is>
      </c>
      <c r="B1102" s="154" t="inlineStr">
        <is>
          <t>3.3.8.2</t>
        </is>
      </c>
      <c r="C1102" s="155" t="inlineStr">
        <is>
          <t>Deferred Taxes</t>
        </is>
      </c>
      <c r="D1102" s="156" t="n"/>
      <c r="E1102" s="156" t="n"/>
      <c r="F1102" s="157">
        <f>HYPERLINK("https://app.global.datasite.com/platform/container/696652ec0dc07cc02daa26a0/documents/content/index/6a45220c8cabe10f18ec7039","Deferred Taxes")</f>
        <v/>
      </c>
      <c r="G1102" s="154" t="inlineStr">
        <is>
          <t>FOLDER</t>
        </is>
      </c>
      <c r="H1102" s="154" t="n"/>
      <c r="I1102" s="154" t="inlineStr">
        <is>
          <t>DOWNLOAD</t>
        </is>
      </c>
      <c r="J1102" s="154" t="n"/>
      <c r="K1102" s="154" t="inlineStr">
        <is>
          <t>Unread</t>
        </is>
      </c>
      <c r="L1102" s="158" t="n">
        <v>46205.59044138889</v>
      </c>
      <c r="M1102" s="154" t="inlineStr">
        <is>
          <t>6a45220c8cabe10f18ec7039</t>
        </is>
      </c>
    </row>
    <row r="1103">
      <c r="A1103" s="154" t="inlineStr">
        <is>
          <t>Project Notos</t>
        </is>
      </c>
      <c r="B1103" s="154" t="inlineStr">
        <is>
          <t>3.3.8.2.1</t>
        </is>
      </c>
      <c r="C1103" s="155" t="inlineStr">
        <is>
          <t>RF_latente Steuern 2024</t>
        </is>
      </c>
      <c r="D1103" s="156" t="n"/>
      <c r="E1103" s="156" t="n"/>
      <c r="F1103" s="157">
        <f>HYPERLINK("https://app.global.datasite.com/webviewer/?projectId=696652ec0dc07cc02daa26a0&amp;documentId=6a4522e90da1ee6a3b9a6459","RF_latente Steuern 2024")</f>
        <v/>
      </c>
      <c r="G1103" s="154" t="inlineStr">
        <is>
          <t>DOCUMENT</t>
        </is>
      </c>
      <c r="H1103" s="154" t="inlineStr">
        <is>
          <t>pdf</t>
        </is>
      </c>
      <c r="I1103" s="154" t="inlineStr">
        <is>
          <t>DOWNLOAD</t>
        </is>
      </c>
      <c r="J1103" s="154" t="n">
        <v>0.03747177</v>
      </c>
      <c r="K1103" s="154" t="inlineStr">
        <is>
          <t>Unread</t>
        </is>
      </c>
      <c r="L1103" s="158" t="n">
        <v>46205.59044082176</v>
      </c>
      <c r="M1103" s="154" t="inlineStr">
        <is>
          <t>6a4522e90da1ee6a3b9a6459</t>
        </is>
      </c>
    </row>
    <row r="1104">
      <c r="A1104" s="154" t="inlineStr">
        <is>
          <t>Project Notos</t>
        </is>
      </c>
      <c r="B1104" s="154" t="inlineStr">
        <is>
          <t>3.3.9</t>
        </is>
      </c>
      <c r="C1104" s="155" t="inlineStr">
        <is>
          <t>Tax filings /Steuerakt</t>
        </is>
      </c>
      <c r="D1104" s="156" t="n"/>
      <c r="E1104" s="156" t="n"/>
      <c r="F1104" s="157">
        <f>HYPERLINK("https://app.global.datasite.com/platform/container/696652ec0dc07cc02daa26a0/documents/content/index/6a3d4fa52474c72c079e3e07","Tax filings /Steuerakt")</f>
        <v/>
      </c>
      <c r="G1104" s="154" t="inlineStr">
        <is>
          <t>FOLDER</t>
        </is>
      </c>
      <c r="H1104" s="154" t="n"/>
      <c r="I1104" s="154" t="inlineStr">
        <is>
          <t>DOWNLOAD</t>
        </is>
      </c>
      <c r="J1104" s="154" t="n"/>
      <c r="K1104" s="154" t="inlineStr">
        <is>
          <t>Unread</t>
        </is>
      </c>
      <c r="L1104" s="158" t="n">
        <v>46198.76535282408</v>
      </c>
      <c r="M1104" s="154" t="inlineStr">
        <is>
          <t>6a3d4fa52474c72c079e3e07</t>
        </is>
      </c>
    </row>
    <row r="1105">
      <c r="A1105" s="154" t="inlineStr">
        <is>
          <t>Project Notos</t>
        </is>
      </c>
      <c r="B1105" s="154" t="inlineStr">
        <is>
          <t>3.3.9.1</t>
        </is>
      </c>
      <c r="C1105" s="155" t="inlineStr">
        <is>
          <t>Steuerakt 2023</t>
        </is>
      </c>
      <c r="D1105" s="156" t="n"/>
      <c r="E1105" s="156" t="n"/>
      <c r="F1105" s="157">
        <f>HYPERLINK("https://app.global.datasite.com/webviewer/?projectId=696652ec0dc07cc02daa26a0&amp;documentId=6a3d509d1dbcfa9a411d8c62","Steuerakt 2023")</f>
        <v/>
      </c>
      <c r="G1105" s="154" t="inlineStr">
        <is>
          <t>DOCUMENT</t>
        </is>
      </c>
      <c r="H1105" s="154" t="inlineStr">
        <is>
          <t>pdf</t>
        </is>
      </c>
      <c r="I1105" s="154" t="inlineStr">
        <is>
          <t>DOWNLOAD</t>
        </is>
      </c>
      <c r="J1105" s="154" t="n">
        <v>0.08159732</v>
      </c>
      <c r="K1105" s="154" t="inlineStr">
        <is>
          <t>Unread</t>
        </is>
      </c>
      <c r="L1105" s="158" t="n">
        <v>46198.7653524074</v>
      </c>
      <c r="M1105" s="154" t="inlineStr">
        <is>
          <t>6a3d509d1dbcfa9a411d8c62</t>
        </is>
      </c>
    </row>
    <row r="1106">
      <c r="A1106" s="154" t="inlineStr">
        <is>
          <t>Project Notos</t>
        </is>
      </c>
      <c r="B1106" s="154" t="inlineStr">
        <is>
          <t>3.3.9.2</t>
        </is>
      </c>
      <c r="C1106" s="155" t="inlineStr">
        <is>
          <t>Steuerakt 2024</t>
        </is>
      </c>
      <c r="D1106" s="156" t="n"/>
      <c r="E1106" s="156" t="n"/>
      <c r="F1106" s="157">
        <f>HYPERLINK("https://app.global.datasite.com/webviewer/?projectId=696652ec0dc07cc02daa26a0&amp;documentId=6a3d509d1dbcfa9a411d8c5f","Steuerakt 2024")</f>
        <v/>
      </c>
      <c r="G1106" s="154" t="inlineStr">
        <is>
          <t>DOCUMENT</t>
        </is>
      </c>
      <c r="H1106" s="154" t="inlineStr">
        <is>
          <t>pdf</t>
        </is>
      </c>
      <c r="I1106" s="154" t="inlineStr">
        <is>
          <t>DOWNLOAD</t>
        </is>
      </c>
      <c r="J1106" s="154" t="n">
        <v>0.08256244</v>
      </c>
      <c r="K1106" s="154" t="inlineStr">
        <is>
          <t>Unread</t>
        </is>
      </c>
      <c r="L1106" s="158" t="n">
        <v>46198.7653524074</v>
      </c>
      <c r="M1106" s="154" t="inlineStr">
        <is>
          <t>6a3d509d1dbcfa9a411d8c5f</t>
        </is>
      </c>
    </row>
    <row r="1107">
      <c r="A1107" s="154" t="inlineStr">
        <is>
          <t>Project Notos</t>
        </is>
      </c>
      <c r="B1107" s="154" t="inlineStr">
        <is>
          <t>3.3.9.3</t>
        </is>
      </c>
      <c r="C1107" s="155" t="inlineStr">
        <is>
          <t>Steuerakt 2025</t>
        </is>
      </c>
      <c r="D1107" s="156" t="n"/>
      <c r="E1107" s="156" t="n"/>
      <c r="F1107" s="157">
        <f>HYPERLINK("https://app.global.datasite.com/webviewer/?projectId=696652ec0dc07cc02daa26a0&amp;documentId=6a3d509d1dbcfa9a411d8c60","Steuerakt 2025")</f>
        <v/>
      </c>
      <c r="G1107" s="154" t="inlineStr">
        <is>
          <t>DOCUMENT</t>
        </is>
      </c>
      <c r="H1107" s="154" t="inlineStr">
        <is>
          <t>pdf</t>
        </is>
      </c>
      <c r="I1107" s="154" t="inlineStr">
        <is>
          <t>DOWNLOAD</t>
        </is>
      </c>
      <c r="J1107" s="154" t="n">
        <v>0.06964206000000001</v>
      </c>
      <c r="K1107" s="154" t="inlineStr">
        <is>
          <t>Unread</t>
        </is>
      </c>
      <c r="L1107" s="158" t="n">
        <v>46198.7653524074</v>
      </c>
      <c r="M1107" s="154" t="inlineStr">
        <is>
          <t>6a3d509d1dbcfa9a411d8c60</t>
        </is>
      </c>
    </row>
    <row r="1108">
      <c r="A1108" s="149" t="inlineStr">
        <is>
          <t>Project Notos</t>
        </is>
      </c>
      <c r="B1108" s="149" t="inlineStr">
        <is>
          <t>3.4</t>
        </is>
      </c>
      <c r="C1108" s="17" t="inlineStr">
        <is>
          <t>Fertinger Tubes (FT)</t>
        </is>
      </c>
      <c r="D1108" s="25" t="n"/>
      <c r="F1108" s="150">
        <f>HYPERLINK("https://app.global.datasite.com/platform/container/696652ec0dc07cc02daa26a0/documents/content/index/698cb7348a98cfb9f910d6d7","Fertinger Tubes (FT)")</f>
        <v/>
      </c>
      <c r="G1108" s="149" t="inlineStr">
        <is>
          <t>FOLDER</t>
        </is>
      </c>
      <c r="H1108" s="149" t="n"/>
      <c r="I1108" s="149" t="inlineStr">
        <is>
          <t>DOWNLOAD</t>
        </is>
      </c>
      <c r="J1108" s="149" t="n"/>
      <c r="K1108" s="149" t="inlineStr">
        <is>
          <t>Unread</t>
        </is>
      </c>
      <c r="L1108" s="152" t="n">
        <v>46176.92764111111</v>
      </c>
      <c r="M1108" s="149" t="inlineStr">
        <is>
          <t>698cb7348a98cfb9f910d6d7</t>
        </is>
      </c>
    </row>
    <row r="1109">
      <c r="A1109" t="inlineStr">
        <is>
          <t>Project Notos</t>
        </is>
      </c>
      <c r="B1109" t="inlineStr">
        <is>
          <t>3.4.1</t>
        </is>
      </c>
      <c r="C1109" s="15" t="inlineStr">
        <is>
          <t>FT_Auszug aus der Betriebskartei 30.03.2026</t>
        </is>
      </c>
      <c r="D1109" s="20" t="inlineStr">
        <is>
          <t>Out-of-Scope</t>
        </is>
      </c>
      <c r="F1109" s="151">
        <f>HYPERLINK("https://app.global.datasite.com/webviewer/?projectId=696652ec0dc07cc02daa26a0&amp;documentId=69dfc50a4748b97ada8a6893","FT_Auszug aus der Betriebskartei 30.03.2026")</f>
        <v/>
      </c>
      <c r="G1109" t="inlineStr">
        <is>
          <t>DOCUMENT</t>
        </is>
      </c>
      <c r="H1109" t="inlineStr">
        <is>
          <t>pdf</t>
        </is>
      </c>
      <c r="I1109" t="inlineStr">
        <is>
          <t>DOWNLOAD</t>
        </is>
      </c>
      <c r="J1109" t="n">
        <v>0.3695259</v>
      </c>
      <c r="K1109" t="inlineStr">
        <is>
          <t>Unread</t>
        </is>
      </c>
      <c r="L1109" s="153" t="n">
        <v>46176.92764111111</v>
      </c>
      <c r="M1109" t="inlineStr">
        <is>
          <t>69dfc50a4748b97ada8a6893</t>
        </is>
      </c>
    </row>
    <row r="1110">
      <c r="A1110" s="149" t="inlineStr">
        <is>
          <t>Project Notos</t>
        </is>
      </c>
      <c r="B1110" s="149" t="inlineStr">
        <is>
          <t>3.4.2</t>
        </is>
      </c>
      <c r="C1110" s="17" t="inlineStr">
        <is>
          <t>CIT</t>
        </is>
      </c>
      <c r="D1110" s="25" t="n"/>
      <c r="F1110" s="150">
        <f>HYPERLINK("https://app.global.datasite.com/platform/container/696652ec0dc07cc02daa26a0/documents/content/index/69e1e295746bfba5f03d479b","CIT")</f>
        <v/>
      </c>
      <c r="G1110" s="149" t="inlineStr">
        <is>
          <t>FOLDER</t>
        </is>
      </c>
      <c r="H1110" s="149" t="n"/>
      <c r="I1110" s="149" t="inlineStr">
        <is>
          <t>DOWNLOAD</t>
        </is>
      </c>
      <c r="J1110" s="149" t="n"/>
      <c r="K1110" s="149" t="inlineStr">
        <is>
          <t>Unread</t>
        </is>
      </c>
      <c r="L1110" s="152" t="n">
        <v>46176.92764111111</v>
      </c>
      <c r="M1110" s="149" t="inlineStr">
        <is>
          <t>69e1e295746bfba5f03d479b</t>
        </is>
      </c>
    </row>
    <row r="1111">
      <c r="A1111" s="149" t="inlineStr">
        <is>
          <t>Project Notos</t>
        </is>
      </c>
      <c r="B1111" s="149" t="inlineStr">
        <is>
          <t>3.4.2.1</t>
        </is>
      </c>
      <c r="C1111" s="17" t="inlineStr">
        <is>
          <t>2023</t>
        </is>
      </c>
      <c r="D1111" s="25" t="n"/>
      <c r="F1111" s="150">
        <f>HYPERLINK("https://app.global.datasite.com/platform/container/696652ec0dc07cc02daa26a0/documents/content/index/69e1f0ee3f86e41d70d8bda6","2023")</f>
        <v/>
      </c>
      <c r="G1111" s="149" t="inlineStr">
        <is>
          <t>FOLDER</t>
        </is>
      </c>
      <c r="H1111" s="149" t="n"/>
      <c r="I1111" s="149" t="inlineStr">
        <is>
          <t>DOWNLOAD</t>
        </is>
      </c>
      <c r="J1111" s="149" t="n"/>
      <c r="K1111" s="149" t="inlineStr">
        <is>
          <t>Unread</t>
        </is>
      </c>
      <c r="L1111" s="152" t="n">
        <v>46176.92764111111</v>
      </c>
      <c r="M1111" s="149" t="inlineStr">
        <is>
          <t>69e1f0ee3f86e41d70d8bda6</t>
        </is>
      </c>
    </row>
    <row r="1112">
      <c r="A1112" t="inlineStr">
        <is>
          <t>Project Notos</t>
        </is>
      </c>
      <c r="B1112" t="inlineStr">
        <is>
          <t>3.4.2.1.1</t>
        </is>
      </c>
      <c r="C1112" s="15" t="inlineStr">
        <is>
          <t>592722 - KSt-Erklärung 2023</t>
        </is>
      </c>
      <c r="D1112" s="20" t="inlineStr">
        <is>
          <t>Out-of-Scope</t>
        </is>
      </c>
      <c r="F1112" s="151">
        <f>HYPERLINK("https://app.global.datasite.com/webviewer/?projectId=696652ec0dc07cc02daa26a0&amp;documentId=69e1f0ee3f86e41d70d8bda7","592722 - KSt-Erklärung 2023")</f>
        <v/>
      </c>
      <c r="G1112" t="inlineStr">
        <is>
          <t>DOCUMENT</t>
        </is>
      </c>
      <c r="H1112" t="inlineStr">
        <is>
          <t>pdf</t>
        </is>
      </c>
      <c r="I1112" t="inlineStr">
        <is>
          <t>DOWNLOAD</t>
        </is>
      </c>
      <c r="J1112" t="n">
        <v>0.51979064</v>
      </c>
      <c r="K1112" t="inlineStr">
        <is>
          <t>Unread</t>
        </is>
      </c>
      <c r="L1112" s="153" t="n">
        <v>46176.92764111111</v>
      </c>
      <c r="M1112" t="inlineStr">
        <is>
          <t>69e1f0ee3f86e41d70d8bda7</t>
        </is>
      </c>
    </row>
    <row r="1113">
      <c r="A1113" t="inlineStr">
        <is>
          <t>Project Notos</t>
        </is>
      </c>
      <c r="B1113" t="inlineStr">
        <is>
          <t>3.4.2.1.2</t>
        </is>
      </c>
      <c r="C1113" s="15" t="inlineStr">
        <is>
          <t>637651 - Bescheid Ges. Feststellung Besteuerungsgrundlagen 2023 vom 18.03.2025</t>
        </is>
      </c>
      <c r="D1113" s="20" t="inlineStr">
        <is>
          <t>Out-of-Scope</t>
        </is>
      </c>
      <c r="F1113" s="151">
        <f>HYPERLINK("https://app.global.datasite.com/webviewer/?projectId=696652ec0dc07cc02daa26a0&amp;documentId=69e1f0ee3f86e41d70d8bda8","637651 - Bescheid Ges. Feststellung Besteuerungsgrundlagen 2023 vom 18.03.2025")</f>
        <v/>
      </c>
      <c r="G1113" t="inlineStr">
        <is>
          <t>DOCUMENT</t>
        </is>
      </c>
      <c r="H1113" t="inlineStr">
        <is>
          <t>pdf</t>
        </is>
      </c>
      <c r="I1113" t="inlineStr">
        <is>
          <t>DOWNLOAD</t>
        </is>
      </c>
      <c r="J1113" t="n">
        <v>0.09011077000000001</v>
      </c>
      <c r="K1113" t="inlineStr">
        <is>
          <t>Unread</t>
        </is>
      </c>
      <c r="L1113" s="153" t="n">
        <v>46176.92764111111</v>
      </c>
      <c r="M1113" t="inlineStr">
        <is>
          <t>69e1f0ee3f86e41d70d8bda8</t>
        </is>
      </c>
    </row>
    <row r="1114">
      <c r="A1114" t="inlineStr">
        <is>
          <t>Project Notos</t>
        </is>
      </c>
      <c r="B1114" t="inlineStr">
        <is>
          <t>3.4.2.1.3</t>
        </is>
      </c>
      <c r="C1114" s="15" t="inlineStr">
        <is>
          <t>637668 - KSt-Bescheid 2023 vom 18.03.2025</t>
        </is>
      </c>
      <c r="D1114" s="20" t="inlineStr">
        <is>
          <t>Out-of-Scope</t>
        </is>
      </c>
      <c r="F1114" s="151">
        <f>HYPERLINK("https://app.global.datasite.com/webviewer/?projectId=696652ec0dc07cc02daa26a0&amp;documentId=69e1f0ee3f86e41d70d8bda9","637668 - KSt-Bescheid 2023 vom 18.03.2025")</f>
        <v/>
      </c>
      <c r="G1114" t="inlineStr">
        <is>
          <t>DOCUMENT</t>
        </is>
      </c>
      <c r="H1114" t="inlineStr">
        <is>
          <t>pdf</t>
        </is>
      </c>
      <c r="I1114" t="inlineStr">
        <is>
          <t>DOWNLOAD</t>
        </is>
      </c>
      <c r="J1114" t="n">
        <v>0.10959148</v>
      </c>
      <c r="K1114" t="inlineStr">
        <is>
          <t>Unread</t>
        </is>
      </c>
      <c r="L1114" s="153" t="n">
        <v>46176.92764111111</v>
      </c>
      <c r="M1114" t="inlineStr">
        <is>
          <t>69e1f0ee3f86e41d70d8bda9</t>
        </is>
      </c>
    </row>
    <row r="1115">
      <c r="A1115" t="inlineStr">
        <is>
          <t>Project Notos</t>
        </is>
      </c>
      <c r="B1115" t="inlineStr">
        <is>
          <t>3.4.2.1.4</t>
        </is>
      </c>
      <c r="C1115" s="15" t="inlineStr">
        <is>
          <t>637672 - KSt-Verlustvortrag-Bescheid 2023 vom 18.03.2025</t>
        </is>
      </c>
      <c r="D1115" s="20" t="inlineStr">
        <is>
          <t>Out-of-Scope</t>
        </is>
      </c>
      <c r="F1115" s="151">
        <f>HYPERLINK("https://app.global.datasite.com/webviewer/?projectId=696652ec0dc07cc02daa26a0&amp;documentId=69e1f0ee3f86e41d70d8bdaa","637672 - KSt-Verlustvortrag-Bescheid 2023 vom 18.03.2025")</f>
        <v/>
      </c>
      <c r="G1115" t="inlineStr">
        <is>
          <t>DOCUMENT</t>
        </is>
      </c>
      <c r="H1115" t="inlineStr">
        <is>
          <t>pdf</t>
        </is>
      </c>
      <c r="I1115" t="inlineStr">
        <is>
          <t>DOWNLOAD</t>
        </is>
      </c>
      <c r="J1115" t="n">
        <v>0.09696769</v>
      </c>
      <c r="K1115" t="inlineStr">
        <is>
          <t>Unread</t>
        </is>
      </c>
      <c r="L1115" s="153" t="n">
        <v>46176.92764111111</v>
      </c>
      <c r="M1115" t="inlineStr">
        <is>
          <t>69e1f0ee3f86e41d70d8bdaa</t>
        </is>
      </c>
    </row>
    <row r="1116">
      <c r="A1116" s="149" t="inlineStr">
        <is>
          <t>Project Notos</t>
        </is>
      </c>
      <c r="B1116" s="149" t="inlineStr">
        <is>
          <t>3.4.2.2</t>
        </is>
      </c>
      <c r="C1116" s="17" t="inlineStr">
        <is>
          <t>2024</t>
        </is>
      </c>
      <c r="D1116" s="25" t="n"/>
      <c r="F1116" s="150">
        <f>HYPERLINK("https://app.global.datasite.com/platform/container/696652ec0dc07cc02daa26a0/documents/content/index/6a0ed54a248972e49bb09fd0","2024")</f>
        <v/>
      </c>
      <c r="G1116" s="149" t="inlineStr">
        <is>
          <t>FOLDER</t>
        </is>
      </c>
      <c r="H1116" s="149" t="n"/>
      <c r="I1116" s="149" t="inlineStr">
        <is>
          <t>DOWNLOAD</t>
        </is>
      </c>
      <c r="J1116" s="149" t="n"/>
      <c r="K1116" s="149" t="inlineStr">
        <is>
          <t>Unread</t>
        </is>
      </c>
      <c r="L1116" s="152" t="n">
        <v>46176.92764111111</v>
      </c>
      <c r="M1116" s="149" t="inlineStr">
        <is>
          <t>6a0ed54a248972e49bb09fd0</t>
        </is>
      </c>
    </row>
    <row r="1117">
      <c r="A1117" t="inlineStr">
        <is>
          <t>Project Notos</t>
        </is>
      </c>
      <c r="B1117" t="inlineStr">
        <is>
          <t>3.4.2.2.1</t>
        </is>
      </c>
      <c r="C1117" s="15" t="inlineStr">
        <is>
          <t xml:space="preserve">677004 - KSt-Erklärung 2024 </t>
        </is>
      </c>
      <c r="D1117" s="20" t="inlineStr">
        <is>
          <t>Out-of-Scope</t>
        </is>
      </c>
      <c r="F1117" s="151">
        <f>HYPERLINK("https://app.global.datasite.com/webviewer/?projectId=696652ec0dc07cc02daa26a0&amp;documentId=6a0ed6bdd500fe4f279fc60f","677004 - KSt-Erklärung 2024 ")</f>
        <v/>
      </c>
      <c r="G1117" t="inlineStr">
        <is>
          <t>DOCUMENT</t>
        </is>
      </c>
      <c r="H1117" t="inlineStr">
        <is>
          <t>pdf</t>
        </is>
      </c>
      <c r="I1117" t="inlineStr">
        <is>
          <t>DOWNLOAD</t>
        </is>
      </c>
      <c r="J1117" t="n">
        <v>0.53002929</v>
      </c>
      <c r="K1117" t="inlineStr">
        <is>
          <t>Unread</t>
        </is>
      </c>
      <c r="L1117" s="153" t="n">
        <v>46176.92764111111</v>
      </c>
      <c r="M1117" t="inlineStr">
        <is>
          <t>6a0ed6bdd500fe4f279fc60f</t>
        </is>
      </c>
    </row>
    <row r="1118">
      <c r="A1118" s="154" t="inlineStr">
        <is>
          <t>Project Notos</t>
        </is>
      </c>
      <c r="B1118" s="154" t="inlineStr">
        <is>
          <t>3.4.2.3</t>
        </is>
      </c>
      <c r="C1118" s="155" t="inlineStr">
        <is>
          <t>2021</t>
        </is>
      </c>
      <c r="D1118" s="156" t="n"/>
      <c r="E1118" s="156" t="n"/>
      <c r="F1118" s="157">
        <f>HYPERLINK("https://app.global.datasite.com/platform/container/696652ec0dc07cc02daa26a0/documents/content/index/6a3beed832075999131f01aa","2021")</f>
        <v/>
      </c>
      <c r="G1118" s="154" t="inlineStr">
        <is>
          <t>FOLDER</t>
        </is>
      </c>
      <c r="H1118" s="154" t="n"/>
      <c r="I1118" s="154" t="inlineStr">
        <is>
          <t>DOWNLOAD</t>
        </is>
      </c>
      <c r="J1118" s="154" t="n"/>
      <c r="K1118" s="154" t="inlineStr">
        <is>
          <t>Unread</t>
        </is>
      </c>
      <c r="L1118" s="158" t="n">
        <v>46198.63465675926</v>
      </c>
      <c r="M1118" s="154" t="inlineStr">
        <is>
          <t>6a3beed832075999131f01aa</t>
        </is>
      </c>
    </row>
    <row r="1119">
      <c r="A1119" s="154" t="inlineStr">
        <is>
          <t>Project Notos</t>
        </is>
      </c>
      <c r="B1119" s="154" t="inlineStr">
        <is>
          <t>3.4.2.3.1</t>
        </is>
      </c>
      <c r="C1119" s="155" t="inlineStr">
        <is>
          <t>FT_KStE_2021</t>
        </is>
      </c>
      <c r="D1119" s="156" t="n"/>
      <c r="E1119" s="156" t="n"/>
      <c r="F1119" s="157">
        <f>HYPERLINK("https://app.global.datasite.com/webviewer/?projectId=696652ec0dc07cc02daa26a0&amp;documentId=6a3beeea32075999131f01b4","FT_KStE_2021")</f>
        <v/>
      </c>
      <c r="G1119" s="154" t="inlineStr">
        <is>
          <t>DOCUMENT</t>
        </is>
      </c>
      <c r="H1119" s="154" t="inlineStr">
        <is>
          <t>pdf</t>
        </is>
      </c>
      <c r="I1119" s="154" t="inlineStr">
        <is>
          <t>DOWNLOAD</t>
        </is>
      </c>
      <c r="J1119" s="154" t="n">
        <v>0.04047966</v>
      </c>
      <c r="K1119" s="154" t="inlineStr">
        <is>
          <t>Unread</t>
        </is>
      </c>
      <c r="L1119" s="158" t="n">
        <v>46198.63465633102</v>
      </c>
      <c r="M1119" s="154" t="inlineStr">
        <is>
          <t>6a3beeea32075999131f01b4</t>
        </is>
      </c>
    </row>
    <row r="1120">
      <c r="A1120" s="154" t="inlineStr">
        <is>
          <t>Project Notos</t>
        </is>
      </c>
      <c r="B1120" s="154" t="inlineStr">
        <is>
          <t>3.4.2.3.2</t>
        </is>
      </c>
      <c r="C1120" s="155" t="inlineStr">
        <is>
          <t>FT_637655 - KSt-Bescheid 2021 vom 18.03.2025</t>
        </is>
      </c>
      <c r="D1120" s="156" t="n"/>
      <c r="E1120" s="156" t="n"/>
      <c r="F1120" s="157">
        <f>HYPERLINK("https://app.global.datasite.com/webviewer/?projectId=696652ec0dc07cc02daa26a0&amp;documentId=6a3beeea32075999131f01b5","FT_637655 - KSt-Bescheid 2021 vom 18.03.2025")</f>
        <v/>
      </c>
      <c r="G1120" s="154" t="inlineStr">
        <is>
          <t>DOCUMENT</t>
        </is>
      </c>
      <c r="H1120" s="154" t="inlineStr">
        <is>
          <t>pdf</t>
        </is>
      </c>
      <c r="I1120" s="154" t="inlineStr">
        <is>
          <t>DOWNLOAD</t>
        </is>
      </c>
      <c r="J1120" s="154" t="n">
        <v>0.11445713</v>
      </c>
      <c r="K1120" s="154" t="inlineStr">
        <is>
          <t>Unread</t>
        </is>
      </c>
      <c r="L1120" s="158" t="n">
        <v>46198.63465633102</v>
      </c>
      <c r="M1120" s="154" t="inlineStr">
        <is>
          <t>6a3beeea32075999131f01b5</t>
        </is>
      </c>
    </row>
    <row r="1121">
      <c r="A1121" s="154" t="inlineStr">
        <is>
          <t>Project Notos</t>
        </is>
      </c>
      <c r="B1121" s="154" t="inlineStr">
        <is>
          <t>3.4.2.3.3</t>
        </is>
      </c>
      <c r="C1121" s="155" t="inlineStr">
        <is>
          <t>FT_637665 - Bescheid Ges. Feststellung Besteuerungsgrundlagen 2021 vom 18.03.2025</t>
        </is>
      </c>
      <c r="D1121" s="156" t="n"/>
      <c r="E1121" s="156" t="n"/>
      <c r="F1121" s="157">
        <f>HYPERLINK("https://app.global.datasite.com/webviewer/?projectId=696652ec0dc07cc02daa26a0&amp;documentId=6a3beeea32075999131f01b6","FT_637665 - Bescheid Ges. Feststellung Besteuerungsgrundlagen 2021 vom 18.03.2025")</f>
        <v/>
      </c>
      <c r="G1121" s="154" t="inlineStr">
        <is>
          <t>DOCUMENT</t>
        </is>
      </c>
      <c r="H1121" s="154" t="inlineStr">
        <is>
          <t>pdf</t>
        </is>
      </c>
      <c r="I1121" s="154" t="inlineStr">
        <is>
          <t>DOWNLOAD</t>
        </is>
      </c>
      <c r="J1121" s="154" t="n">
        <v>0.09043502</v>
      </c>
      <c r="K1121" s="154" t="inlineStr">
        <is>
          <t>Unread</t>
        </is>
      </c>
      <c r="L1121" s="158" t="n">
        <v>46198.63465633102</v>
      </c>
      <c r="M1121" s="154" t="inlineStr">
        <is>
          <t>6a3beeea32075999131f01b6</t>
        </is>
      </c>
    </row>
    <row r="1122">
      <c r="A1122" s="154" t="inlineStr">
        <is>
          <t>Project Notos</t>
        </is>
      </c>
      <c r="B1122" s="154" t="inlineStr">
        <is>
          <t>3.4.2.3.4</t>
        </is>
      </c>
      <c r="C1122" s="155" t="inlineStr">
        <is>
          <t>FT_637681 - KSt-Verlustvortrag-Bescheid 2021 vom 18.03.2025</t>
        </is>
      </c>
      <c r="D1122" s="156" t="n"/>
      <c r="E1122" s="156" t="n"/>
      <c r="F1122" s="157">
        <f>HYPERLINK("https://app.global.datasite.com/webviewer/?projectId=696652ec0dc07cc02daa26a0&amp;documentId=6a3beeea32075999131f01b7","FT_637681 - KSt-Verlustvortrag-Bescheid 2021 vom 18.03.2025")</f>
        <v/>
      </c>
      <c r="G1122" s="154" t="inlineStr">
        <is>
          <t>DOCUMENT</t>
        </is>
      </c>
      <c r="H1122" s="154" t="inlineStr">
        <is>
          <t>pdf</t>
        </is>
      </c>
      <c r="I1122" s="154" t="inlineStr">
        <is>
          <t>DOWNLOAD</t>
        </is>
      </c>
      <c r="J1122" s="154" t="n">
        <v>0.09745693</v>
      </c>
      <c r="K1122" s="154" t="inlineStr">
        <is>
          <t>Unread</t>
        </is>
      </c>
      <c r="L1122" s="158" t="n">
        <v>46198.63479241898</v>
      </c>
      <c r="M1122" s="154" t="inlineStr">
        <is>
          <t>6a3beeea32075999131f01b7</t>
        </is>
      </c>
    </row>
    <row r="1123">
      <c r="A1123" s="154" t="inlineStr">
        <is>
          <t>Project Notos</t>
        </is>
      </c>
      <c r="B1123" s="154" t="inlineStr">
        <is>
          <t>3.4.2.3.5</t>
        </is>
      </c>
      <c r="C1123" s="155" t="inlineStr">
        <is>
          <t>FT_AnlageGK_2021</t>
        </is>
      </c>
      <c r="D1123" s="156" t="n"/>
      <c r="E1123" s="156" t="n"/>
      <c r="F1123" s="157">
        <f>HYPERLINK("https://app.global.datasite.com/webviewer/?projectId=696652ec0dc07cc02daa26a0&amp;documentId=6a3beeea32075999131f01b8","FT_AnlageGK_2021")</f>
        <v/>
      </c>
      <c r="G1123" s="154" t="inlineStr">
        <is>
          <t>DOCUMENT</t>
        </is>
      </c>
      <c r="H1123" s="154" t="inlineStr">
        <is>
          <t>pdf</t>
        </is>
      </c>
      <c r="I1123" s="154" t="inlineStr">
        <is>
          <t>DOWNLOAD</t>
        </is>
      </c>
      <c r="J1123" s="154" t="n">
        <v>0.08265876</v>
      </c>
      <c r="K1123" s="154" t="inlineStr">
        <is>
          <t>Unread</t>
        </is>
      </c>
      <c r="L1123" s="158" t="n">
        <v>46198.63479241898</v>
      </c>
      <c r="M1123" s="154" t="inlineStr">
        <is>
          <t>6a3beeea32075999131f01b8</t>
        </is>
      </c>
    </row>
    <row r="1124">
      <c r="A1124" s="154" t="inlineStr">
        <is>
          <t>Project Notos</t>
        </is>
      </c>
      <c r="B1124" s="154" t="inlineStr">
        <is>
          <t>3.4.2.3.6</t>
        </is>
      </c>
      <c r="C1124" s="155" t="inlineStr">
        <is>
          <t>FT_AnlageGK_20211</t>
        </is>
      </c>
      <c r="D1124" s="156" t="n"/>
      <c r="E1124" s="156" t="n"/>
      <c r="F1124" s="157">
        <f>HYPERLINK("https://app.global.datasite.com/webviewer/?projectId=696652ec0dc07cc02daa26a0&amp;documentId=6a3beeea32075999131f01b9","FT_AnlageGK_20211")</f>
        <v/>
      </c>
      <c r="G1124" s="154" t="inlineStr">
        <is>
          <t>DOCUMENT</t>
        </is>
      </c>
      <c r="H1124" s="154" t="inlineStr">
        <is>
          <t>pdf</t>
        </is>
      </c>
      <c r="I1124" s="154" t="inlineStr">
        <is>
          <t>DOWNLOAD</t>
        </is>
      </c>
      <c r="J1124" s="154" t="n">
        <v>0.08267687999999999</v>
      </c>
      <c r="K1124" s="154" t="inlineStr">
        <is>
          <t>Unread</t>
        </is>
      </c>
      <c r="L1124" s="158" t="n">
        <v>46198.63479241898</v>
      </c>
      <c r="M1124" s="154" t="inlineStr">
        <is>
          <t>6a3beeea32075999131f01b9</t>
        </is>
      </c>
    </row>
    <row r="1125">
      <c r="A1125" s="154" t="inlineStr">
        <is>
          <t>Project Notos</t>
        </is>
      </c>
      <c r="B1125" s="154" t="inlineStr">
        <is>
          <t>3.4.2.3.7</t>
        </is>
      </c>
      <c r="C1125" s="155" t="inlineStr">
        <is>
          <t>FT_AnlageKSt1F_20211</t>
        </is>
      </c>
      <c r="D1125" s="156" t="n"/>
      <c r="E1125" s="156" t="n"/>
      <c r="F1125" s="157">
        <f>HYPERLINK("https://app.global.datasite.com/webviewer/?projectId=696652ec0dc07cc02daa26a0&amp;documentId=6a3beeea32075999131f01ba","FT_AnlageKSt1F_20211")</f>
        <v/>
      </c>
      <c r="G1125" s="154" t="inlineStr">
        <is>
          <t>DOCUMENT</t>
        </is>
      </c>
      <c r="H1125" s="154" t="inlineStr">
        <is>
          <t>pdf</t>
        </is>
      </c>
      <c r="I1125" s="154" t="inlineStr">
        <is>
          <t>DOWNLOAD</t>
        </is>
      </c>
      <c r="J1125" s="154" t="n">
        <v>0.0591135</v>
      </c>
      <c r="K1125" s="154" t="inlineStr">
        <is>
          <t>Unread</t>
        </is>
      </c>
      <c r="L1125" s="158" t="n">
        <v>46198.63479241898</v>
      </c>
      <c r="M1125" s="154" t="inlineStr">
        <is>
          <t>6a3beeea32075999131f01ba</t>
        </is>
      </c>
    </row>
    <row r="1126">
      <c r="A1126" s="154" t="inlineStr">
        <is>
          <t>Project Notos</t>
        </is>
      </c>
      <c r="B1126" s="154" t="inlineStr">
        <is>
          <t>3.4.2.3.8</t>
        </is>
      </c>
      <c r="C1126" s="155" t="inlineStr">
        <is>
          <t>FT_AnlageKSt1F_202112</t>
        </is>
      </c>
      <c r="D1126" s="156" t="n"/>
      <c r="E1126" s="156" t="n"/>
      <c r="F1126" s="157">
        <f>HYPERLINK("https://app.global.datasite.com/webviewer/?projectId=696652ec0dc07cc02daa26a0&amp;documentId=6a3beeea32075999131f01bb","FT_AnlageKSt1F_202112")</f>
        <v/>
      </c>
      <c r="G1126" s="154" t="inlineStr">
        <is>
          <t>DOCUMENT</t>
        </is>
      </c>
      <c r="H1126" s="154" t="inlineStr">
        <is>
          <t>pdf</t>
        </is>
      </c>
      <c r="I1126" s="154" t="inlineStr">
        <is>
          <t>DOWNLOAD</t>
        </is>
      </c>
      <c r="J1126" s="154" t="n">
        <v>0.05912208</v>
      </c>
      <c r="K1126" s="154" t="inlineStr">
        <is>
          <t>Unread</t>
        </is>
      </c>
      <c r="L1126" s="158" t="n">
        <v>46198.63479241898</v>
      </c>
      <c r="M1126" s="154" t="inlineStr">
        <is>
          <t>6a3beeea32075999131f01bb</t>
        </is>
      </c>
    </row>
    <row r="1127">
      <c r="A1127" s="154" t="inlineStr">
        <is>
          <t>Project Notos</t>
        </is>
      </c>
      <c r="B1127" s="154" t="inlineStr">
        <is>
          <t>3.4.2.3.9</t>
        </is>
      </c>
      <c r="C1127" s="155" t="inlineStr">
        <is>
          <t>FT_AnlageVerluste_20211</t>
        </is>
      </c>
      <c r="D1127" s="156" t="n"/>
      <c r="E1127" s="156" t="n"/>
      <c r="F1127" s="157">
        <f>HYPERLINK("https://app.global.datasite.com/webviewer/?projectId=696652ec0dc07cc02daa26a0&amp;documentId=6a3beeea32075999131f01bc","FT_AnlageVerluste_20211")</f>
        <v/>
      </c>
      <c r="G1127" s="154" t="inlineStr">
        <is>
          <t>DOCUMENT</t>
        </is>
      </c>
      <c r="H1127" s="154" t="inlineStr">
        <is>
          <t>pdf</t>
        </is>
      </c>
      <c r="I1127" s="154" t="inlineStr">
        <is>
          <t>DOWNLOAD</t>
        </is>
      </c>
      <c r="J1127" s="154" t="n">
        <v>0.02743148</v>
      </c>
      <c r="K1127" s="154" t="inlineStr">
        <is>
          <t>Unread</t>
        </is>
      </c>
      <c r="L1127" s="158" t="n">
        <v>46198.63479241898</v>
      </c>
      <c r="M1127" s="154" t="inlineStr">
        <is>
          <t>6a3beeea32075999131f01bc</t>
        </is>
      </c>
    </row>
    <row r="1128">
      <c r="A1128" s="154" t="inlineStr">
        <is>
          <t>Project Notos</t>
        </is>
      </c>
      <c r="B1128" s="154" t="inlineStr">
        <is>
          <t>3.4.2.3.10</t>
        </is>
      </c>
      <c r="C1128" s="155" t="inlineStr">
        <is>
          <t>FT_AnlageWA_20211</t>
        </is>
      </c>
      <c r="D1128" s="156" t="n"/>
      <c r="E1128" s="156" t="n"/>
      <c r="F1128" s="157">
        <f>HYPERLINK("https://app.global.datasite.com/webviewer/?projectId=696652ec0dc07cc02daa26a0&amp;documentId=6a3beeea32075999131f01bd","FT_AnlageWA_20211")</f>
        <v/>
      </c>
      <c r="G1128" s="154" t="inlineStr">
        <is>
          <t>DOCUMENT</t>
        </is>
      </c>
      <c r="H1128" s="154" t="inlineStr">
        <is>
          <t>pdf</t>
        </is>
      </c>
      <c r="I1128" s="154" t="inlineStr">
        <is>
          <t>DOWNLOAD</t>
        </is>
      </c>
      <c r="J1128" s="154" t="n">
        <v>0.04051971</v>
      </c>
      <c r="K1128" s="154" t="inlineStr">
        <is>
          <t>Unread</t>
        </is>
      </c>
      <c r="L1128" s="158" t="n">
        <v>46198.63479241898</v>
      </c>
      <c r="M1128" s="154" t="inlineStr">
        <is>
          <t>6a3beeea32075999131f01bd</t>
        </is>
      </c>
    </row>
    <row r="1129">
      <c r="A1129" s="154" t="inlineStr">
        <is>
          <t>Project Notos</t>
        </is>
      </c>
      <c r="B1129" s="154" t="inlineStr">
        <is>
          <t>3.4.2.3.11</t>
        </is>
      </c>
      <c r="C1129" s="155" t="inlineStr">
        <is>
          <t>FT_AnlageZVE_202115</t>
        </is>
      </c>
      <c r="D1129" s="156" t="n"/>
      <c r="E1129" s="156" t="n"/>
      <c r="F1129" s="157">
        <f>HYPERLINK("https://app.global.datasite.com/webviewer/?projectId=696652ec0dc07cc02daa26a0&amp;documentId=6a3beeea32075999131f01be","FT_AnlageZVE_202115")</f>
        <v/>
      </c>
      <c r="G1129" s="154" t="inlineStr">
        <is>
          <t>DOCUMENT</t>
        </is>
      </c>
      <c r="H1129" s="154" t="inlineStr">
        <is>
          <t>pdf</t>
        </is>
      </c>
      <c r="I1129" s="154" t="inlineStr">
        <is>
          <t>DOWNLOAD</t>
        </is>
      </c>
      <c r="J1129" s="154" t="n">
        <v>0.04862403</v>
      </c>
      <c r="K1129" s="154" t="inlineStr">
        <is>
          <t>Unread</t>
        </is>
      </c>
      <c r="L1129" s="158" t="n">
        <v>46198.63479241898</v>
      </c>
      <c r="M1129" s="154" t="inlineStr">
        <is>
          <t>6a3beeea32075999131f01be</t>
        </is>
      </c>
    </row>
    <row r="1130">
      <c r="A1130" s="154" t="inlineStr">
        <is>
          <t>Project Notos</t>
        </is>
      </c>
      <c r="B1130" s="154" t="inlineStr">
        <is>
          <t>3.4.2.4</t>
        </is>
      </c>
      <c r="C1130" s="155" t="inlineStr">
        <is>
          <t>2022</t>
        </is>
      </c>
      <c r="D1130" s="156" t="n"/>
      <c r="E1130" s="156" t="n"/>
      <c r="F1130" s="157">
        <f>HYPERLINK("https://app.global.datasite.com/platform/container/696652ec0dc07cc02daa26a0/documents/content/index/6a3bef3baa5a153ebd49e44c","2022")</f>
        <v/>
      </c>
      <c r="G1130" s="154" t="inlineStr">
        <is>
          <t>FOLDER</t>
        </is>
      </c>
      <c r="H1130" s="154" t="n"/>
      <c r="I1130" s="154" t="inlineStr">
        <is>
          <t>DOWNLOAD</t>
        </is>
      </c>
      <c r="J1130" s="154" t="n"/>
      <c r="K1130" s="154" t="inlineStr">
        <is>
          <t>Unread</t>
        </is>
      </c>
      <c r="L1130" s="158" t="n">
        <v>46198.6368041551</v>
      </c>
      <c r="M1130" s="154" t="inlineStr">
        <is>
          <t>6a3bef3baa5a153ebd49e44c</t>
        </is>
      </c>
    </row>
    <row r="1131">
      <c r="A1131" s="154" t="inlineStr">
        <is>
          <t>Project Notos</t>
        </is>
      </c>
      <c r="B1131" s="154" t="inlineStr">
        <is>
          <t>3.4.2.4.1</t>
        </is>
      </c>
      <c r="C1131" s="155" t="inlineStr">
        <is>
          <t>FT_KSt_2022</t>
        </is>
      </c>
      <c r="D1131" s="156" t="n"/>
      <c r="E1131" s="156" t="n"/>
      <c r="F1131" s="157">
        <f>HYPERLINK("https://app.global.datasite.com/webviewer/?projectId=696652ec0dc07cc02daa26a0&amp;documentId=6a3bef4c32075999131f01f9","FT_KSt_2022")</f>
        <v/>
      </c>
      <c r="G1131" s="154" t="inlineStr">
        <is>
          <t>DOCUMENT</t>
        </is>
      </c>
      <c r="H1131" s="154" t="inlineStr">
        <is>
          <t>pdf</t>
        </is>
      </c>
      <c r="I1131" s="154" t="inlineStr">
        <is>
          <t>DOWNLOAD</t>
        </is>
      </c>
      <c r="J1131" s="154" t="n">
        <v>0.53847026</v>
      </c>
      <c r="K1131" s="154" t="inlineStr">
        <is>
          <t>Unread</t>
        </is>
      </c>
      <c r="L1131" s="158" t="n">
        <v>46198.6368041551</v>
      </c>
      <c r="M1131" s="154" t="inlineStr">
        <is>
          <t>6a3bef4c32075999131f01f9</t>
        </is>
      </c>
    </row>
    <row r="1132">
      <c r="A1132" s="154" t="inlineStr">
        <is>
          <t>Project Notos</t>
        </is>
      </c>
      <c r="B1132" s="154" t="inlineStr">
        <is>
          <t>3.4.2.4.2</t>
        </is>
      </c>
      <c r="C1132" s="155" t="inlineStr">
        <is>
          <t>FT_637656 - Bescheid Ges. Feststellung Besteuerungsgrundlagen 2022 vom 18.03.2025</t>
        </is>
      </c>
      <c r="D1132" s="156" t="n"/>
      <c r="E1132" s="156" t="n"/>
      <c r="F1132" s="157">
        <f>HYPERLINK("https://app.global.datasite.com/webviewer/?projectId=696652ec0dc07cc02daa26a0&amp;documentId=6a3bef4c32075999131f01fa","FT_637656 - Bescheid Ges. Feststellung Besteuerungsgrundlagen 2022 vom 18.03.2025")</f>
        <v/>
      </c>
      <c r="G1132" s="154" t="inlineStr">
        <is>
          <t>DOCUMENT</t>
        </is>
      </c>
      <c r="H1132" s="154" t="inlineStr">
        <is>
          <t>pdf</t>
        </is>
      </c>
      <c r="I1132" s="154" t="inlineStr">
        <is>
          <t>DOWNLOAD</t>
        </is>
      </c>
      <c r="J1132" s="154" t="n">
        <v>0.08760547</v>
      </c>
      <c r="K1132" s="154" t="inlineStr">
        <is>
          <t>Unread</t>
        </is>
      </c>
      <c r="L1132" s="158" t="n">
        <v>46198.6368041551</v>
      </c>
      <c r="M1132" s="154" t="inlineStr">
        <is>
          <t>6a3bef4c32075999131f01fa</t>
        </is>
      </c>
    </row>
    <row r="1133">
      <c r="A1133" s="154" t="inlineStr">
        <is>
          <t>Project Notos</t>
        </is>
      </c>
      <c r="B1133" s="154" t="inlineStr">
        <is>
          <t>3.4.2.4.3</t>
        </is>
      </c>
      <c r="C1133" s="155" t="inlineStr">
        <is>
          <t>FT_637675 - KSt-Bescheid 2022 vom 18.03.2025</t>
        </is>
      </c>
      <c r="D1133" s="156" t="n"/>
      <c r="E1133" s="156" t="n"/>
      <c r="F1133" s="157">
        <f>HYPERLINK("https://app.global.datasite.com/webviewer/?projectId=696652ec0dc07cc02daa26a0&amp;documentId=6a3bef4c32075999131f01fb","FT_637675 - KSt-Bescheid 2022 vom 18.03.2025")</f>
        <v/>
      </c>
      <c r="G1133" s="154" t="inlineStr">
        <is>
          <t>DOCUMENT</t>
        </is>
      </c>
      <c r="H1133" s="154" t="inlineStr">
        <is>
          <t>pdf</t>
        </is>
      </c>
      <c r="I1133" s="154" t="inlineStr">
        <is>
          <t>DOWNLOAD</t>
        </is>
      </c>
      <c r="J1133" s="154" t="n">
        <v>0.1131134</v>
      </c>
      <c r="K1133" s="154" t="inlineStr">
        <is>
          <t>Unread</t>
        </is>
      </c>
      <c r="L1133" s="158" t="n">
        <v>46198.6368041551</v>
      </c>
      <c r="M1133" s="154" t="inlineStr">
        <is>
          <t>6a3bef4c32075999131f01fb</t>
        </is>
      </c>
    </row>
    <row r="1134">
      <c r="A1134" s="154" t="inlineStr">
        <is>
          <t>Project Notos</t>
        </is>
      </c>
      <c r="B1134" s="154" t="inlineStr">
        <is>
          <t>3.4.2.4.4</t>
        </is>
      </c>
      <c r="C1134" s="155" t="inlineStr">
        <is>
          <t>FT_637676 - KSt-Verlustvortrag-Bescheid 2022 vom 18.03.2025</t>
        </is>
      </c>
      <c r="D1134" s="156" t="n"/>
      <c r="E1134" s="156" t="n"/>
      <c r="F1134" s="157">
        <f>HYPERLINK("https://app.global.datasite.com/webviewer/?projectId=696652ec0dc07cc02daa26a0&amp;documentId=6a3bef4c32075999131f01fc","FT_637676 - KSt-Verlustvortrag-Bescheid 2022 vom 18.03.2025")</f>
        <v/>
      </c>
      <c r="G1134" s="154" t="inlineStr">
        <is>
          <t>DOCUMENT</t>
        </is>
      </c>
      <c r="H1134" s="154" t="inlineStr">
        <is>
          <t>pdf</t>
        </is>
      </c>
      <c r="I1134" s="154" t="inlineStr">
        <is>
          <t>DOWNLOAD</t>
        </is>
      </c>
      <c r="J1134" s="154" t="n">
        <v>0.09431075999999999</v>
      </c>
      <c r="K1134" s="154" t="inlineStr">
        <is>
          <t>Unread</t>
        </is>
      </c>
      <c r="L1134" s="158" t="n">
        <v>46198.6368041551</v>
      </c>
      <c r="M1134" s="154" t="inlineStr">
        <is>
          <t>6a3bef4c32075999131f01fc</t>
        </is>
      </c>
    </row>
    <row r="1135">
      <c r="A1135" s="154" t="inlineStr">
        <is>
          <t>Project Notos</t>
        </is>
      </c>
      <c r="B1135" s="154" t="inlineStr">
        <is>
          <t>3.4.2.4.5</t>
        </is>
      </c>
      <c r="C1135" s="155" t="inlineStr">
        <is>
          <t>FT_648288 - KSt-Bescheid 2022 Änderung d. Festsetzung v. Zinsen vom 23.05.2025</t>
        </is>
      </c>
      <c r="D1135" s="156" t="n"/>
      <c r="E1135" s="156" t="n"/>
      <c r="F1135" s="157">
        <f>HYPERLINK("https://app.global.datasite.com/webviewer/?projectId=696652ec0dc07cc02daa26a0&amp;documentId=6a3bef4c32075999131f01fd","FT_648288 - KSt-Bescheid 2022 Änderung d. Festsetzung v. Zinsen vom 23.05.2025")</f>
        <v/>
      </c>
      <c r="G1135" s="154" t="inlineStr">
        <is>
          <t>DOCUMENT</t>
        </is>
      </c>
      <c r="H1135" s="154" t="inlineStr">
        <is>
          <t>pdf</t>
        </is>
      </c>
      <c r="I1135" s="154" t="inlineStr">
        <is>
          <t>DOWNLOAD</t>
        </is>
      </c>
      <c r="J1135" s="154" t="n">
        <v>0.18842124</v>
      </c>
      <c r="K1135" s="154" t="inlineStr">
        <is>
          <t>Unread</t>
        </is>
      </c>
      <c r="L1135" s="158" t="n">
        <v>46198.6368041551</v>
      </c>
      <c r="M1135" s="154" t="inlineStr">
        <is>
          <t>6a3bef4c32075999131f01fd</t>
        </is>
      </c>
    </row>
    <row r="1136">
      <c r="A1136" s="154" t="inlineStr">
        <is>
          <t>Project Notos</t>
        </is>
      </c>
      <c r="B1136" s="154" t="inlineStr">
        <is>
          <t>3.4.2.4.6</t>
        </is>
      </c>
      <c r="C1136" s="155" t="inlineStr">
        <is>
          <t>FT_648290 - BvFA Abrechnung Zinsen zur KSt 2022</t>
        </is>
      </c>
      <c r="D1136" s="156" t="n"/>
      <c r="E1136" s="156" t="n"/>
      <c r="F1136" s="157">
        <f>HYPERLINK("https://app.global.datasite.com/webviewer/?projectId=696652ec0dc07cc02daa26a0&amp;documentId=6a3bef4c32075999131f01fe","FT_648290 - BvFA Abrechnung Zinsen zur KSt 2022")</f>
        <v/>
      </c>
      <c r="G1136" s="154" t="inlineStr">
        <is>
          <t>DOCUMENT</t>
        </is>
      </c>
      <c r="H1136" s="154" t="inlineStr">
        <is>
          <t>pdf</t>
        </is>
      </c>
      <c r="I1136" s="154" t="inlineStr">
        <is>
          <t>DOWNLOAD</t>
        </is>
      </c>
      <c r="J1136" s="154" t="n">
        <v>0.06079959</v>
      </c>
      <c r="K1136" s="154" t="inlineStr">
        <is>
          <t>Unread</t>
        </is>
      </c>
      <c r="L1136" s="158" t="n">
        <v>46198.6368041551</v>
      </c>
      <c r="M1136" s="154" t="inlineStr">
        <is>
          <t>6a3bef4c32075999131f01fe</t>
        </is>
      </c>
    </row>
    <row r="1137">
      <c r="A1137" s="154" t="inlineStr">
        <is>
          <t>Project Notos</t>
        </is>
      </c>
      <c r="B1137" s="154" t="inlineStr">
        <is>
          <t>3.4.2.5</t>
        </is>
      </c>
      <c r="C1137" s="155" t="inlineStr">
        <is>
          <t>2025</t>
        </is>
      </c>
      <c r="D1137" s="156" t="n"/>
      <c r="E1137" s="156" t="n"/>
      <c r="F1137" s="157">
        <f>HYPERLINK("https://app.global.datasite.com/platform/container/696652ec0dc07cc02daa26a0/documents/content/index/6a3bf2a80acba839f1a3f05b","2025")</f>
        <v/>
      </c>
      <c r="G1137" s="154" t="inlineStr">
        <is>
          <t>FOLDER</t>
        </is>
      </c>
      <c r="H1137" s="154" t="n"/>
      <c r="I1137" s="154" t="inlineStr">
        <is>
          <t>DOWNLOAD</t>
        </is>
      </c>
      <c r="J1137" s="154" t="n"/>
      <c r="K1137" s="154" t="inlineStr">
        <is>
          <t>Unread</t>
        </is>
      </c>
      <c r="L1137" s="158" t="n">
        <v>46198.63704616898</v>
      </c>
      <c r="M1137" s="154" t="inlineStr">
        <is>
          <t>6a3bf2a80acba839f1a3f05b</t>
        </is>
      </c>
    </row>
    <row r="1138">
      <c r="A1138" s="154" t="inlineStr">
        <is>
          <t>Project Notos</t>
        </is>
      </c>
      <c r="B1138" s="154" t="inlineStr">
        <is>
          <t>3.4.2.5.1</t>
        </is>
      </c>
      <c r="C1138" s="155" t="inlineStr">
        <is>
          <t>FT_KSt_2025</t>
        </is>
      </c>
      <c r="D1138" s="156" t="n"/>
      <c r="E1138" s="156" t="n"/>
      <c r="F1138" s="157">
        <f>HYPERLINK("https://app.global.datasite.com/webviewer/?projectId=696652ec0dc07cc02daa26a0&amp;documentId=6a3bf2b2a73fcd832d773d68","FT_KSt_2025")</f>
        <v/>
      </c>
      <c r="G1138" s="154" t="inlineStr">
        <is>
          <t>DOCUMENT</t>
        </is>
      </c>
      <c r="H1138" s="154" t="inlineStr">
        <is>
          <t>pdf</t>
        </is>
      </c>
      <c r="I1138" s="154" t="inlineStr">
        <is>
          <t>DOWNLOAD</t>
        </is>
      </c>
      <c r="J1138" s="154" t="n">
        <v>0.01933479</v>
      </c>
      <c r="K1138" s="154" t="inlineStr">
        <is>
          <t>Unread</t>
        </is>
      </c>
      <c r="L1138" s="158" t="n">
        <v>46198.63704568287</v>
      </c>
      <c r="M1138" s="154" t="inlineStr">
        <is>
          <t>6a3bf2b2a73fcd832d773d68</t>
        </is>
      </c>
    </row>
    <row r="1139">
      <c r="A1139" s="154" t="inlineStr">
        <is>
          <t>Project Notos</t>
        </is>
      </c>
      <c r="B1139" s="154" t="inlineStr">
        <is>
          <t>3.4.2.6</t>
        </is>
      </c>
      <c r="C1139" s="155" t="inlineStr">
        <is>
          <t>Überleitungen Handels / Steuerbilanz</t>
        </is>
      </c>
      <c r="D1139" s="156" t="n"/>
      <c r="E1139" s="156" t="n"/>
      <c r="F1139" s="157">
        <f>HYPERLINK("https://app.global.datasite.com/platform/container/696652ec0dc07cc02daa26a0/documents/content/index/6a3bf219d068d307edad72b0","Überleitungen Handels / Steuerbilanz")</f>
        <v/>
      </c>
      <c r="G1139" s="154" t="inlineStr">
        <is>
          <t>FOLDER</t>
        </is>
      </c>
      <c r="H1139" s="154" t="n"/>
      <c r="I1139" s="154" t="inlineStr">
        <is>
          <t>DOWNLOAD</t>
        </is>
      </c>
      <c r="J1139" s="154" t="n"/>
      <c r="K1139" s="154" t="inlineStr">
        <is>
          <t>Unread</t>
        </is>
      </c>
      <c r="L1139" s="158" t="n">
        <v>46198.64889804398</v>
      </c>
      <c r="M1139" s="154" t="inlineStr">
        <is>
          <t>6a3bf219d068d307edad72b0</t>
        </is>
      </c>
    </row>
    <row r="1140">
      <c r="A1140" s="154" t="inlineStr">
        <is>
          <t>Project Notos</t>
        </is>
      </c>
      <c r="B1140" s="154" t="inlineStr">
        <is>
          <t>3.4.2.6.1</t>
        </is>
      </c>
      <c r="C1140" s="155" t="inlineStr">
        <is>
          <t>Überleitungsrechnung 2021</t>
        </is>
      </c>
      <c r="D1140" s="156" t="n"/>
      <c r="E1140" s="156" t="n"/>
      <c r="F1140" s="157">
        <f>HYPERLINK("https://app.global.datasite.com/webviewer/?projectId=696652ec0dc07cc02daa26a0&amp;documentId=6a3bf254d068d307edad72c5","Überleitungsrechnung 2021")</f>
        <v/>
      </c>
      <c r="G1140" s="154" t="inlineStr">
        <is>
          <t>DOCUMENT</t>
        </is>
      </c>
      <c r="H1140" s="154" t="inlineStr">
        <is>
          <t>pdf</t>
        </is>
      </c>
      <c r="I1140" s="154" t="inlineStr">
        <is>
          <t>DOWNLOAD</t>
        </is>
      </c>
      <c r="J1140" s="154" t="n">
        <v>0.0584774</v>
      </c>
      <c r="K1140" s="154" t="inlineStr">
        <is>
          <t>Unread</t>
        </is>
      </c>
      <c r="L1140" s="158" t="n">
        <v>46198.64889804398</v>
      </c>
      <c r="M1140" s="154" t="inlineStr">
        <is>
          <t>6a3bf254d068d307edad72c5</t>
        </is>
      </c>
    </row>
    <row r="1141">
      <c r="A1141" s="154" t="inlineStr">
        <is>
          <t>Project Notos</t>
        </is>
      </c>
      <c r="B1141" s="154" t="inlineStr">
        <is>
          <t>3.4.2.6.2</t>
        </is>
      </c>
      <c r="C1141" s="155" t="inlineStr">
        <is>
          <t>Überleitung 2022</t>
        </is>
      </c>
      <c r="D1141" s="156" t="n"/>
      <c r="E1141" s="156" t="n"/>
      <c r="F1141" s="157">
        <f>HYPERLINK("https://app.global.datasite.com/webviewer/?projectId=696652ec0dc07cc02daa26a0&amp;documentId=6a3bf254d068d307edad72c6","Überleitung 2022")</f>
        <v/>
      </c>
      <c r="G1141" s="154" t="inlineStr">
        <is>
          <t>DOCUMENT</t>
        </is>
      </c>
      <c r="H1141" s="154" t="inlineStr">
        <is>
          <t>pdf</t>
        </is>
      </c>
      <c r="I1141" s="154" t="inlineStr">
        <is>
          <t>DOWNLOAD</t>
        </is>
      </c>
      <c r="J1141" s="154" t="n">
        <v>0.05888843</v>
      </c>
      <c r="K1141" s="154" t="inlineStr">
        <is>
          <t>Unread</t>
        </is>
      </c>
      <c r="L1141" s="158" t="n">
        <v>46198.64889804398</v>
      </c>
      <c r="M1141" s="154" t="inlineStr">
        <is>
          <t>6a3bf254d068d307edad72c6</t>
        </is>
      </c>
    </row>
    <row r="1142">
      <c r="A1142" s="154" t="inlineStr">
        <is>
          <t>Project Notos</t>
        </is>
      </c>
      <c r="B1142" s="154" t="inlineStr">
        <is>
          <t>3.4.2.6.3</t>
        </is>
      </c>
      <c r="C1142" s="155" t="inlineStr">
        <is>
          <t>Überleitung 2023</t>
        </is>
      </c>
      <c r="D1142" s="156" t="n"/>
      <c r="E1142" s="156" t="n"/>
      <c r="F1142" s="157">
        <f>HYPERLINK("https://app.global.datasite.com/webviewer/?projectId=696652ec0dc07cc02daa26a0&amp;documentId=6a3bf254d068d307edad72c7","Überleitung 2023")</f>
        <v/>
      </c>
      <c r="G1142" s="154" t="inlineStr">
        <is>
          <t>DOCUMENT</t>
        </is>
      </c>
      <c r="H1142" s="154" t="inlineStr">
        <is>
          <t>pdf</t>
        </is>
      </c>
      <c r="I1142" s="154" t="inlineStr">
        <is>
          <t>DOWNLOAD</t>
        </is>
      </c>
      <c r="J1142" s="154" t="n">
        <v>0.05084896</v>
      </c>
      <c r="K1142" s="154" t="inlineStr">
        <is>
          <t>Unread</t>
        </is>
      </c>
      <c r="L1142" s="158" t="n">
        <v>46198.64889804398</v>
      </c>
      <c r="M1142" s="154" t="inlineStr">
        <is>
          <t>6a3bf254d068d307edad72c7</t>
        </is>
      </c>
    </row>
    <row r="1143">
      <c r="A1143" s="149" t="inlineStr">
        <is>
          <t>Project Notos</t>
        </is>
      </c>
      <c r="B1143" s="149" t="inlineStr">
        <is>
          <t>3.4.3</t>
        </is>
      </c>
      <c r="C1143" s="17" t="inlineStr">
        <is>
          <t>Trade Tax</t>
        </is>
      </c>
      <c r="D1143" s="25" t="n"/>
      <c r="F1143" s="150">
        <f>HYPERLINK("https://app.global.datasite.com/platform/container/696652ec0dc07cc02daa26a0/documents/content/index/69e1f158d499fb56b2d76eb0","Trade Tax")</f>
        <v/>
      </c>
      <c r="G1143" s="149" t="inlineStr">
        <is>
          <t>FOLDER</t>
        </is>
      </c>
      <c r="H1143" s="149" t="n"/>
      <c r="I1143" s="149" t="inlineStr">
        <is>
          <t>DOWNLOAD</t>
        </is>
      </c>
      <c r="J1143" s="149" t="n"/>
      <c r="K1143" s="149" t="inlineStr">
        <is>
          <t>Unread</t>
        </is>
      </c>
      <c r="L1143" s="152" t="n">
        <v>46176.92764111111</v>
      </c>
      <c r="M1143" s="149" t="inlineStr">
        <is>
          <t>69e1f158d499fb56b2d76eb0</t>
        </is>
      </c>
    </row>
    <row r="1144">
      <c r="A1144" s="149" t="inlineStr">
        <is>
          <t>Project Notos</t>
        </is>
      </c>
      <c r="B1144" s="149" t="inlineStr">
        <is>
          <t>3.4.3.1</t>
        </is>
      </c>
      <c r="C1144" s="17" t="inlineStr">
        <is>
          <t>2023</t>
        </is>
      </c>
      <c r="D1144" s="25" t="n"/>
      <c r="F1144" s="150">
        <f>HYPERLINK("https://app.global.datasite.com/platform/container/696652ec0dc07cc02daa26a0/documents/content/index/69e1f16dc2c22a635ff96eb8","2023")</f>
        <v/>
      </c>
      <c r="G1144" s="149" t="inlineStr">
        <is>
          <t>FOLDER</t>
        </is>
      </c>
      <c r="H1144" s="149" t="n"/>
      <c r="I1144" s="149" t="inlineStr">
        <is>
          <t>DOWNLOAD</t>
        </is>
      </c>
      <c r="J1144" s="149" t="n"/>
      <c r="K1144" s="149" t="inlineStr">
        <is>
          <t>Unread</t>
        </is>
      </c>
      <c r="L1144" s="152" t="n">
        <v>46176.92764111111</v>
      </c>
      <c r="M1144" s="149" t="inlineStr">
        <is>
          <t>69e1f16dc2c22a635ff96eb8</t>
        </is>
      </c>
    </row>
    <row r="1145">
      <c r="A1145" t="inlineStr">
        <is>
          <t>Project Notos</t>
        </is>
      </c>
      <c r="B1145" t="inlineStr">
        <is>
          <t>3.4.3.1.1</t>
        </is>
      </c>
      <c r="C1145" s="15" t="inlineStr">
        <is>
          <t>637663 - GewSt-Verlustvortrag-Bescheid 2023 vom 18.03.2025</t>
        </is>
      </c>
      <c r="D1145" s="20" t="inlineStr">
        <is>
          <t>Out-of-Scope</t>
        </is>
      </c>
      <c r="F1145" s="151">
        <f>HYPERLINK("https://app.global.datasite.com/webviewer/?projectId=696652ec0dc07cc02daa26a0&amp;documentId=69e1f16dc2c22a635ff96eb9","637663 - GewSt-Verlustvortrag-Bescheid 2023 vom 18.03.2025")</f>
        <v/>
      </c>
      <c r="G1145" t="inlineStr">
        <is>
          <t>DOCUMENT</t>
        </is>
      </c>
      <c r="H1145" t="inlineStr">
        <is>
          <t>pdf</t>
        </is>
      </c>
      <c r="I1145" t="inlineStr">
        <is>
          <t>DOWNLOAD</t>
        </is>
      </c>
      <c r="J1145" t="n">
        <v>0.09740638</v>
      </c>
      <c r="K1145" t="inlineStr">
        <is>
          <t>Unread</t>
        </is>
      </c>
      <c r="L1145" s="153" t="n">
        <v>46176.92764111111</v>
      </c>
      <c r="M1145" t="inlineStr">
        <is>
          <t>69e1f16dc2c22a635ff96eb9</t>
        </is>
      </c>
    </row>
    <row r="1146">
      <c r="A1146" t="inlineStr">
        <is>
          <t>Project Notos</t>
        </is>
      </c>
      <c r="B1146" t="inlineStr">
        <is>
          <t>3.4.3.1.2</t>
        </is>
      </c>
      <c r="C1146" s="15" t="inlineStr">
        <is>
          <t>637673 - GewSt-Mess-Bescheid 2023 vom 18.03.2025</t>
        </is>
      </c>
      <c r="D1146" s="20" t="inlineStr">
        <is>
          <t>Out-of-Scope</t>
        </is>
      </c>
      <c r="F1146" s="151">
        <f>HYPERLINK("https://app.global.datasite.com/webviewer/?projectId=696652ec0dc07cc02daa26a0&amp;documentId=69e1f16dc2c22a635ff96eba","637673 - GewSt-Mess-Bescheid 2023 vom 18.03.2025")</f>
        <v/>
      </c>
      <c r="G1146" t="inlineStr">
        <is>
          <t>DOCUMENT</t>
        </is>
      </c>
      <c r="H1146" t="inlineStr">
        <is>
          <t>pdf</t>
        </is>
      </c>
      <c r="I1146" t="inlineStr">
        <is>
          <t>DOWNLOAD</t>
        </is>
      </c>
      <c r="J1146" t="n">
        <v>0.11418342</v>
      </c>
      <c r="K1146" t="inlineStr">
        <is>
          <t>Unread</t>
        </is>
      </c>
      <c r="L1146" s="153" t="n">
        <v>46176.92764111111</v>
      </c>
      <c r="M1146" t="inlineStr">
        <is>
          <t>69e1f16dc2c22a635ff96eba</t>
        </is>
      </c>
    </row>
    <row r="1147">
      <c r="A1147" t="inlineStr">
        <is>
          <t>Project Notos</t>
        </is>
      </c>
      <c r="B1147" t="inlineStr">
        <is>
          <t>3.4.3.1.3</t>
        </is>
      </c>
      <c r="C1147" s="15" t="inlineStr">
        <is>
          <t>GewSt1A_2023</t>
        </is>
      </c>
      <c r="D1147" s="20" t="inlineStr">
        <is>
          <t>Out-of-Scope</t>
        </is>
      </c>
      <c r="F1147" s="151">
        <f>HYPERLINK("https://app.global.datasite.com/webviewer/?projectId=696652ec0dc07cc02daa26a0&amp;documentId=69e1f16dc2c22a635ff96ebb","GewSt1A_2023")</f>
        <v/>
      </c>
      <c r="G1147" t="inlineStr">
        <is>
          <t>DOCUMENT</t>
        </is>
      </c>
      <c r="H1147" t="inlineStr">
        <is>
          <t>pdf</t>
        </is>
      </c>
      <c r="I1147" t="inlineStr">
        <is>
          <t>DOWNLOAD</t>
        </is>
      </c>
      <c r="J1147" t="n">
        <v>0.31406784</v>
      </c>
      <c r="K1147" t="inlineStr">
        <is>
          <t>Unread</t>
        </is>
      </c>
      <c r="L1147" s="153" t="n">
        <v>46176.92764111111</v>
      </c>
      <c r="M1147" t="inlineStr">
        <is>
          <t>69e1f16dc2c22a635ff96ebb</t>
        </is>
      </c>
    </row>
    <row r="1148">
      <c r="A1148" s="149" t="inlineStr">
        <is>
          <t>Project Notos</t>
        </is>
      </c>
      <c r="B1148" s="149" t="inlineStr">
        <is>
          <t>3.4.3.2</t>
        </is>
      </c>
      <c r="C1148" s="17" t="inlineStr">
        <is>
          <t>2024</t>
        </is>
      </c>
      <c r="D1148" s="25" t="n"/>
      <c r="F1148" s="150">
        <f>HYPERLINK("https://app.global.datasite.com/platform/container/696652ec0dc07cc02daa26a0/documents/content/index/6a0ed742d500fe4f279fc672","2024")</f>
        <v/>
      </c>
      <c r="G1148" s="149" t="inlineStr">
        <is>
          <t>FOLDER</t>
        </is>
      </c>
      <c r="H1148" s="149" t="n"/>
      <c r="I1148" s="149" t="inlineStr">
        <is>
          <t>DOWNLOAD</t>
        </is>
      </c>
      <c r="J1148" s="149" t="n"/>
      <c r="K1148" s="149" t="inlineStr">
        <is>
          <t>Unread</t>
        </is>
      </c>
      <c r="L1148" s="152" t="n">
        <v>46176.92764111111</v>
      </c>
      <c r="M1148" s="149" t="inlineStr">
        <is>
          <t>6a0ed742d500fe4f279fc672</t>
        </is>
      </c>
    </row>
    <row r="1149">
      <c r="A1149" t="inlineStr">
        <is>
          <t>Project Notos</t>
        </is>
      </c>
      <c r="B1149" t="inlineStr">
        <is>
          <t>3.4.3.2.1</t>
        </is>
      </c>
      <c r="C1149" s="15" t="inlineStr">
        <is>
          <t>GewSt1A_2024</t>
        </is>
      </c>
      <c r="D1149" s="20" t="inlineStr">
        <is>
          <t>Out-of-Scope</t>
        </is>
      </c>
      <c r="F1149" s="151">
        <f>HYPERLINK("https://app.global.datasite.com/webviewer/?projectId=696652ec0dc07cc02daa26a0&amp;documentId=6a0ed7743eb4ad9421a0d9ed","GewSt1A_2024")</f>
        <v/>
      </c>
      <c r="G1149" t="inlineStr">
        <is>
          <t>DOCUMENT</t>
        </is>
      </c>
      <c r="H1149" t="inlineStr">
        <is>
          <t>pdf</t>
        </is>
      </c>
      <c r="I1149" t="inlineStr">
        <is>
          <t>DOWNLOAD</t>
        </is>
      </c>
      <c r="J1149" t="n">
        <v>0.32225799</v>
      </c>
      <c r="K1149" t="inlineStr">
        <is>
          <t>Unread</t>
        </is>
      </c>
      <c r="L1149" s="153" t="n">
        <v>46176.92764111111</v>
      </c>
      <c r="M1149" t="inlineStr">
        <is>
          <t>6a0ed7743eb4ad9421a0d9ed</t>
        </is>
      </c>
    </row>
    <row r="1150">
      <c r="A1150" s="154" t="inlineStr">
        <is>
          <t>Project Notos</t>
        </is>
      </c>
      <c r="B1150" s="154" t="inlineStr">
        <is>
          <t>3.4.3.3</t>
        </is>
      </c>
      <c r="C1150" s="155" t="inlineStr">
        <is>
          <t>2021</t>
        </is>
      </c>
      <c r="D1150" s="156" t="n"/>
      <c r="E1150" s="156" t="n"/>
      <c r="F1150" s="157">
        <f>HYPERLINK("https://app.global.datasite.com/platform/container/696652ec0dc07cc02daa26a0/documents/content/index/6a3bec571dbcfa9a411d2bae","2021")</f>
        <v/>
      </c>
      <c r="G1150" s="154" t="inlineStr">
        <is>
          <t>FOLDER</t>
        </is>
      </c>
      <c r="H1150" s="154" t="n"/>
      <c r="I1150" s="154" t="inlineStr">
        <is>
          <t>DOWNLOAD</t>
        </is>
      </c>
      <c r="J1150" s="154" t="n"/>
      <c r="K1150" s="154" t="inlineStr">
        <is>
          <t>Unread</t>
        </is>
      </c>
      <c r="L1150" s="158" t="n">
        <v>46198.637928125</v>
      </c>
      <c r="M1150" s="154" t="inlineStr">
        <is>
          <t>6a3bec571dbcfa9a411d2bae</t>
        </is>
      </c>
    </row>
    <row r="1151">
      <c r="A1151" s="154" t="inlineStr">
        <is>
          <t>Project Notos</t>
        </is>
      </c>
      <c r="B1151" s="154" t="inlineStr">
        <is>
          <t>3.4.3.3.1</t>
        </is>
      </c>
      <c r="C1151" s="155" t="inlineStr">
        <is>
          <t>FT_GewSt1A_20211</t>
        </is>
      </c>
      <c r="D1151" s="156" t="n"/>
      <c r="E1151" s="156" t="n"/>
      <c r="F1151" s="157">
        <f>HYPERLINK("https://app.global.datasite.com/webviewer/?projectId=696652ec0dc07cc02daa26a0&amp;documentId=6a3becf1a73fcd832d773a84","FT_GewSt1A_20211")</f>
        <v/>
      </c>
      <c r="G1151" s="154" t="inlineStr">
        <is>
          <t>DOCUMENT</t>
        </is>
      </c>
      <c r="H1151" s="154" t="inlineStr">
        <is>
          <t>pdf</t>
        </is>
      </c>
      <c r="I1151" s="154" t="inlineStr">
        <is>
          <t>DOWNLOAD</t>
        </is>
      </c>
      <c r="J1151" s="154" t="n">
        <v>0.09352588000000001</v>
      </c>
      <c r="K1151" s="154" t="inlineStr">
        <is>
          <t>Unread</t>
        </is>
      </c>
      <c r="L1151" s="158" t="n">
        <v>46198.6379275</v>
      </c>
      <c r="M1151" s="154" t="inlineStr">
        <is>
          <t>6a3becf1a73fcd832d773a84</t>
        </is>
      </c>
    </row>
    <row r="1152">
      <c r="A1152" s="154" t="inlineStr">
        <is>
          <t>Project Notos</t>
        </is>
      </c>
      <c r="B1152" s="154" t="inlineStr">
        <is>
          <t>3.4.3.3.2</t>
        </is>
      </c>
      <c r="C1152" s="155" t="inlineStr">
        <is>
          <t>FT_637667 - GewSt-Mess-Bescheid 2021 vom 18.03.2025</t>
        </is>
      </c>
      <c r="D1152" s="156" t="n"/>
      <c r="E1152" s="156" t="n"/>
      <c r="F1152" s="157">
        <f>HYPERLINK("https://app.global.datasite.com/webviewer/?projectId=696652ec0dc07cc02daa26a0&amp;documentId=6a3becf1a73fcd832d773a85","FT_637667 - GewSt-Mess-Bescheid 2021 vom 18.03.2025")</f>
        <v/>
      </c>
      <c r="G1152" s="154" t="inlineStr">
        <is>
          <t>DOCUMENT</t>
        </is>
      </c>
      <c r="H1152" s="154" t="inlineStr">
        <is>
          <t>pdf</t>
        </is>
      </c>
      <c r="I1152" s="154" t="inlineStr">
        <is>
          <t>DOWNLOAD</t>
        </is>
      </c>
      <c r="J1152" s="154" t="n">
        <v>0.11228275</v>
      </c>
      <c r="K1152" s="154" t="inlineStr">
        <is>
          <t>Unread</t>
        </is>
      </c>
      <c r="L1152" s="158" t="n">
        <v>46198.6379275</v>
      </c>
      <c r="M1152" s="154" t="inlineStr">
        <is>
          <t>6a3becf1a73fcd832d773a85</t>
        </is>
      </c>
    </row>
    <row r="1153">
      <c r="A1153" s="154" t="inlineStr">
        <is>
          <t>Project Notos</t>
        </is>
      </c>
      <c r="B1153" s="154" t="inlineStr">
        <is>
          <t>3.4.3.3.3</t>
        </is>
      </c>
      <c r="C1153" s="155" t="inlineStr">
        <is>
          <t>FT_637677 - GewSt-Verlustvortrag-Bescheid 2021 vom 18.03.2025</t>
        </is>
      </c>
      <c r="D1153" s="156" t="n"/>
      <c r="E1153" s="156" t="n"/>
      <c r="F1153" s="157">
        <f>HYPERLINK("https://app.global.datasite.com/webviewer/?projectId=696652ec0dc07cc02daa26a0&amp;documentId=6a3becf1a73fcd832d773a86","FT_637677 - GewSt-Verlustvortrag-Bescheid 2021 vom 18.03.2025")</f>
        <v/>
      </c>
      <c r="G1153" s="154" t="inlineStr">
        <is>
          <t>DOCUMENT</t>
        </is>
      </c>
      <c r="H1153" s="154" t="inlineStr">
        <is>
          <t>pdf</t>
        </is>
      </c>
      <c r="I1153" s="154" t="inlineStr">
        <is>
          <t>DOWNLOAD</t>
        </is>
      </c>
      <c r="J1153" s="154" t="n">
        <v>0.09445762000000001</v>
      </c>
      <c r="K1153" s="154" t="inlineStr">
        <is>
          <t>Unread</t>
        </is>
      </c>
      <c r="L1153" s="158" t="n">
        <v>46198.6379275</v>
      </c>
      <c r="M1153" s="154" t="inlineStr">
        <is>
          <t>6a3becf1a73fcd832d773a86</t>
        </is>
      </c>
    </row>
    <row r="1154">
      <c r="A1154" s="154" t="inlineStr">
        <is>
          <t>Project Notos</t>
        </is>
      </c>
      <c r="B1154" s="154" t="inlineStr">
        <is>
          <t>3.4.3.3.4</t>
        </is>
      </c>
      <c r="C1154" s="155" t="inlineStr">
        <is>
          <t>FT_643254 - GewSt-Bescheid 2021,2022,2023 Stadt Remscheid vom 23.04.2025</t>
        </is>
      </c>
      <c r="D1154" s="156" t="n"/>
      <c r="E1154" s="156" t="n"/>
      <c r="F1154" s="157">
        <f>HYPERLINK("https://app.global.datasite.com/webviewer/?projectId=696652ec0dc07cc02daa26a0&amp;documentId=6a3becf1a73fcd832d773a87","FT_643254 - GewSt-Bescheid 2021,2022,2023 Stadt Remscheid vom 23.04.2025")</f>
        <v/>
      </c>
      <c r="G1154" s="154" t="inlineStr">
        <is>
          <t>DOCUMENT</t>
        </is>
      </c>
      <c r="H1154" s="154" t="inlineStr">
        <is>
          <t>pdf</t>
        </is>
      </c>
      <c r="I1154" s="154" t="inlineStr">
        <is>
          <t>DOWNLOAD</t>
        </is>
      </c>
      <c r="J1154" s="154" t="n">
        <v>0.17062187</v>
      </c>
      <c r="K1154" s="154" t="inlineStr">
        <is>
          <t>Unread</t>
        </is>
      </c>
      <c r="L1154" s="158" t="n">
        <v>46198.6379275</v>
      </c>
      <c r="M1154" s="154" t="inlineStr">
        <is>
          <t>6a3becf1a73fcd832d773a87</t>
        </is>
      </c>
    </row>
    <row r="1155">
      <c r="A1155" s="154" t="inlineStr">
        <is>
          <t>Project Notos</t>
        </is>
      </c>
      <c r="B1155" s="154" t="inlineStr">
        <is>
          <t>3.4.3.4</t>
        </is>
      </c>
      <c r="C1155" s="155" t="inlineStr">
        <is>
          <t>2022</t>
        </is>
      </c>
      <c r="D1155" s="156" t="n"/>
      <c r="E1155" s="156" t="n"/>
      <c r="F1155" s="157">
        <f>HYPERLINK("https://app.global.datasite.com/platform/container/696652ec0dc07cc02daa26a0/documents/content/index/6a3bed90aea97b79c3917888","2022")</f>
        <v/>
      </c>
      <c r="G1155" s="154" t="inlineStr">
        <is>
          <t>FOLDER</t>
        </is>
      </c>
      <c r="H1155" s="154" t="n"/>
      <c r="I1155" s="154" t="inlineStr">
        <is>
          <t>DOWNLOAD</t>
        </is>
      </c>
      <c r="J1155" s="154" t="n"/>
      <c r="K1155" s="154" t="inlineStr">
        <is>
          <t>Unread</t>
        </is>
      </c>
      <c r="L1155" s="158" t="n">
        <v>46198.63881221065</v>
      </c>
      <c r="M1155" s="154" t="inlineStr">
        <is>
          <t>6a3bed90aea97b79c3917888</t>
        </is>
      </c>
    </row>
    <row r="1156">
      <c r="A1156" s="154" t="inlineStr">
        <is>
          <t>Project Notos</t>
        </is>
      </c>
      <c r="B1156" s="154" t="inlineStr">
        <is>
          <t>3.4.3.4.1</t>
        </is>
      </c>
      <c r="C1156" s="155" t="inlineStr">
        <is>
          <t>FT_GewSt1A_2022</t>
        </is>
      </c>
      <c r="D1156" s="156" t="n"/>
      <c r="E1156" s="156" t="n"/>
      <c r="F1156" s="157">
        <f>HYPERLINK("https://app.global.datasite.com/webviewer/?projectId=696652ec0dc07cc02daa26a0&amp;documentId=6a3beda38b89ce86de6fcee7","FT_GewSt1A_2022")</f>
        <v/>
      </c>
      <c r="G1156" s="154" t="inlineStr">
        <is>
          <t>DOCUMENT</t>
        </is>
      </c>
      <c r="H1156" s="154" t="inlineStr">
        <is>
          <t>pdf</t>
        </is>
      </c>
      <c r="I1156" s="154" t="inlineStr">
        <is>
          <t>DOWNLOAD</t>
        </is>
      </c>
      <c r="J1156" s="154" t="n">
        <v>0.31715679</v>
      </c>
      <c r="K1156" s="154" t="inlineStr">
        <is>
          <t>Unread</t>
        </is>
      </c>
      <c r="L1156" s="158" t="n">
        <v>46198.63881177083</v>
      </c>
      <c r="M1156" s="154" t="inlineStr">
        <is>
          <t>6a3beda38b89ce86de6fcee7</t>
        </is>
      </c>
    </row>
    <row r="1157">
      <c r="A1157" s="154" t="inlineStr">
        <is>
          <t>Project Notos</t>
        </is>
      </c>
      <c r="B1157" s="154" t="inlineStr">
        <is>
          <t>3.4.3.4.2</t>
        </is>
      </c>
      <c r="C1157" s="155" t="inlineStr">
        <is>
          <t>FT_637682 - GewSt-Mess-Bescheid 2022 vom 18.03.2025</t>
        </is>
      </c>
      <c r="D1157" s="156" t="n"/>
      <c r="E1157" s="156" t="n"/>
      <c r="F1157" s="157">
        <f>HYPERLINK("https://app.global.datasite.com/webviewer/?projectId=696652ec0dc07cc02daa26a0&amp;documentId=6a3beda38b89ce86de6fcee8","FT_637682 - GewSt-Mess-Bescheid 2022 vom 18.03.2025")</f>
        <v/>
      </c>
      <c r="G1157" s="154" t="inlineStr">
        <is>
          <t>DOCUMENT</t>
        </is>
      </c>
      <c r="H1157" s="154" t="inlineStr">
        <is>
          <t>pdf</t>
        </is>
      </c>
      <c r="I1157" s="154" t="inlineStr">
        <is>
          <t>DOWNLOAD</t>
        </is>
      </c>
      <c r="J1157" s="154" t="n">
        <v>0.11161518</v>
      </c>
      <c r="K1157" s="154" t="inlineStr">
        <is>
          <t>Unread</t>
        </is>
      </c>
      <c r="L1157" s="158" t="n">
        <v>46198.63881177083</v>
      </c>
      <c r="M1157" s="154" t="inlineStr">
        <is>
          <t>6a3beda38b89ce86de6fcee8</t>
        </is>
      </c>
    </row>
    <row r="1158">
      <c r="A1158" s="154" t="inlineStr">
        <is>
          <t>Project Notos</t>
        </is>
      </c>
      <c r="B1158" s="154" t="inlineStr">
        <is>
          <t>3.4.3.4.3</t>
        </is>
      </c>
      <c r="C1158" s="155" t="inlineStr">
        <is>
          <t>FT_637683 - GewSt-Verlustvortrag-Bescheid 2022 vom 18.03.2025</t>
        </is>
      </c>
      <c r="D1158" s="156" t="n"/>
      <c r="E1158" s="156" t="n"/>
      <c r="F1158" s="157">
        <f>HYPERLINK("https://app.global.datasite.com/webviewer/?projectId=696652ec0dc07cc02daa26a0&amp;documentId=6a3beda38b89ce86de6fcee9","FT_637683 - GewSt-Verlustvortrag-Bescheid 2022 vom 18.03.2025")</f>
        <v/>
      </c>
      <c r="G1158" s="154" t="inlineStr">
        <is>
          <t>DOCUMENT</t>
        </is>
      </c>
      <c r="H1158" s="154" t="inlineStr">
        <is>
          <t>pdf</t>
        </is>
      </c>
      <c r="I1158" s="154" t="inlineStr">
        <is>
          <t>DOWNLOAD</t>
        </is>
      </c>
      <c r="J1158" s="154" t="n">
        <v>0.09453868</v>
      </c>
      <c r="K1158" s="154" t="inlineStr">
        <is>
          <t>Unread</t>
        </is>
      </c>
      <c r="L1158" s="158" t="n">
        <v>46198.63881177083</v>
      </c>
      <c r="M1158" s="154" t="inlineStr">
        <is>
          <t>6a3beda38b89ce86de6fcee9</t>
        </is>
      </c>
    </row>
    <row r="1159">
      <c r="A1159" s="154" t="inlineStr">
        <is>
          <t>Project Notos</t>
        </is>
      </c>
      <c r="B1159" s="154" t="inlineStr">
        <is>
          <t>3.4.3.4.4</t>
        </is>
      </c>
      <c r="C1159" s="155" t="inlineStr">
        <is>
          <t>FT_643254 - GewSt-Bescheid 2021,2022,2023 Stadt Remscheid vom 23.04.2025</t>
        </is>
      </c>
      <c r="D1159" s="156" t="n"/>
      <c r="E1159" s="156" t="n"/>
      <c r="F1159" s="157">
        <f>HYPERLINK("https://app.global.datasite.com/webviewer/?projectId=696652ec0dc07cc02daa26a0&amp;documentId=6a3beda38b89ce86de6fceea","FT_643254 - GewSt-Bescheid 2021,2022,2023 Stadt Remscheid vom 23.04.2025")</f>
        <v/>
      </c>
      <c r="G1159" s="154" t="inlineStr">
        <is>
          <t>DOCUMENT</t>
        </is>
      </c>
      <c r="H1159" s="154" t="inlineStr">
        <is>
          <t>pdf</t>
        </is>
      </c>
      <c r="I1159" s="154" t="inlineStr">
        <is>
          <t>DOWNLOAD</t>
        </is>
      </c>
      <c r="J1159" s="154" t="n">
        <v>0.17061424</v>
      </c>
      <c r="K1159" s="154" t="inlineStr">
        <is>
          <t>Unread</t>
        </is>
      </c>
      <c r="L1159" s="158" t="n">
        <v>46198.64581740741</v>
      </c>
      <c r="M1159" s="154" t="inlineStr">
        <is>
          <t>6a3beda38b89ce86de6fceea</t>
        </is>
      </c>
    </row>
    <row r="1160">
      <c r="A1160" s="149" t="inlineStr">
        <is>
          <t>Project Notos</t>
        </is>
      </c>
      <c r="B1160" s="149" t="inlineStr">
        <is>
          <t>3.4.4</t>
        </is>
      </c>
      <c r="C1160" s="17" t="inlineStr">
        <is>
          <t>VAT</t>
        </is>
      </c>
      <c r="D1160" s="25" t="n"/>
      <c r="F1160" s="150">
        <f>HYPERLINK("https://app.global.datasite.com/platform/container/696652ec0dc07cc02daa26a0/documents/content/index/69e1e295746bfba5f03d479c","VAT")</f>
        <v/>
      </c>
      <c r="G1160" s="149" t="inlineStr">
        <is>
          <t>FOLDER</t>
        </is>
      </c>
      <c r="H1160" s="149" t="n"/>
      <c r="I1160" s="149" t="inlineStr">
        <is>
          <t>DOWNLOAD</t>
        </is>
      </c>
      <c r="J1160" s="149" t="n"/>
      <c r="K1160" s="149" t="inlineStr">
        <is>
          <t>Unread</t>
        </is>
      </c>
      <c r="L1160" s="152" t="n">
        <v>46176.92764111111</v>
      </c>
      <c r="M1160" s="149" t="inlineStr">
        <is>
          <t>69e1e295746bfba5f03d479c</t>
        </is>
      </c>
    </row>
    <row r="1161">
      <c r="A1161" s="149" t="inlineStr">
        <is>
          <t>Project Notos</t>
        </is>
      </c>
      <c r="B1161" s="149" t="inlineStr">
        <is>
          <t>3.4.4.1</t>
        </is>
      </c>
      <c r="C1161" s="17" t="inlineStr">
        <is>
          <t>2023</t>
        </is>
      </c>
      <c r="D1161" s="25" t="n"/>
      <c r="F1161" s="150">
        <f>HYPERLINK("https://app.global.datasite.com/platform/container/696652ec0dc07cc02daa26a0/documents/content/index/69e1f10210699361468cb4da","2023")</f>
        <v/>
      </c>
      <c r="G1161" s="149" t="inlineStr">
        <is>
          <t>FOLDER</t>
        </is>
      </c>
      <c r="H1161" s="149" t="n"/>
      <c r="I1161" s="149" t="inlineStr">
        <is>
          <t>DOWNLOAD</t>
        </is>
      </c>
      <c r="J1161" s="149" t="n"/>
      <c r="K1161" s="149" t="inlineStr">
        <is>
          <t>Unread</t>
        </is>
      </c>
      <c r="L1161" s="152" t="n">
        <v>46176.92764111111</v>
      </c>
      <c r="M1161" s="149" t="inlineStr">
        <is>
          <t>69e1f10210699361468cb4da</t>
        </is>
      </c>
    </row>
    <row r="1162">
      <c r="A1162" t="inlineStr">
        <is>
          <t>Project Notos</t>
        </is>
      </c>
      <c r="B1162" t="inlineStr">
        <is>
          <t>3.4.4.1.1</t>
        </is>
      </c>
      <c r="C1162" s="15" t="inlineStr">
        <is>
          <t>592724 - USt-Erklärung 2023_</t>
        </is>
      </c>
      <c r="D1162" s="20" t="inlineStr">
        <is>
          <t>Out-of-Scope</t>
        </is>
      </c>
      <c r="F1162" s="151">
        <f>HYPERLINK("https://app.global.datasite.com/webviewer/?projectId=696652ec0dc07cc02daa26a0&amp;documentId=69e1f10210699361468cb4db","592724 - USt-Erklärung 2023_")</f>
        <v/>
      </c>
      <c r="G1162" t="inlineStr">
        <is>
          <t>DOCUMENT</t>
        </is>
      </c>
      <c r="H1162" t="inlineStr">
        <is>
          <t>pdf</t>
        </is>
      </c>
      <c r="I1162" t="inlineStr">
        <is>
          <t>DOWNLOAD</t>
        </is>
      </c>
      <c r="J1162" t="n">
        <v>0.05949783</v>
      </c>
      <c r="K1162" t="inlineStr">
        <is>
          <t>Unread</t>
        </is>
      </c>
      <c r="L1162" s="153" t="n">
        <v>46176.92764111111</v>
      </c>
      <c r="M1162" t="inlineStr">
        <is>
          <t>69e1f10210699361468cb4db</t>
        </is>
      </c>
    </row>
    <row r="1163">
      <c r="A1163" t="inlineStr">
        <is>
          <t>Project Notos</t>
        </is>
      </c>
      <c r="B1163" t="inlineStr">
        <is>
          <t>3.4.4.1.2</t>
        </is>
      </c>
      <c r="C1163" s="15" t="inlineStr">
        <is>
          <t>599459 - USt-Mitteilung 2023_</t>
        </is>
      </c>
      <c r="D1163" s="20" t="inlineStr">
        <is>
          <t>Out-of-Scope</t>
        </is>
      </c>
      <c r="F1163" s="151">
        <f>HYPERLINK("https://app.global.datasite.com/webviewer/?projectId=696652ec0dc07cc02daa26a0&amp;documentId=69e1f10210699361468cb4dc","599459 - USt-Mitteilung 2023_")</f>
        <v/>
      </c>
      <c r="G1163" t="inlineStr">
        <is>
          <t>DOCUMENT</t>
        </is>
      </c>
      <c r="H1163" t="inlineStr">
        <is>
          <t>pdf</t>
        </is>
      </c>
      <c r="I1163" t="inlineStr">
        <is>
          <t>DOWNLOAD</t>
        </is>
      </c>
      <c r="J1163" t="n">
        <v>0.07719230000000001</v>
      </c>
      <c r="K1163" t="inlineStr">
        <is>
          <t>Unread</t>
        </is>
      </c>
      <c r="L1163" s="153" t="n">
        <v>46176.92764111111</v>
      </c>
      <c r="M1163" t="inlineStr">
        <is>
          <t>69e1f10210699361468cb4dc</t>
        </is>
      </c>
    </row>
    <row r="1164">
      <c r="A1164" s="149" t="inlineStr">
        <is>
          <t>Project Notos</t>
        </is>
      </c>
      <c r="B1164" s="149" t="inlineStr">
        <is>
          <t>3.4.4.2</t>
        </is>
      </c>
      <c r="C1164" s="17" t="inlineStr">
        <is>
          <t>2024</t>
        </is>
      </c>
      <c r="D1164" s="25" t="n"/>
      <c r="F1164" s="150">
        <f>HYPERLINK("https://app.global.datasite.com/platform/container/696652ec0dc07cc02daa26a0/documents/content/index/6a0ed79d635c89859406dd23","2024")</f>
        <v/>
      </c>
      <c r="G1164" s="149" t="inlineStr">
        <is>
          <t>FOLDER</t>
        </is>
      </c>
      <c r="H1164" s="149" t="n"/>
      <c r="I1164" s="149" t="inlineStr">
        <is>
          <t>DOWNLOAD</t>
        </is>
      </c>
      <c r="J1164" s="149" t="n"/>
      <c r="K1164" s="149" t="inlineStr">
        <is>
          <t>Unread</t>
        </is>
      </c>
      <c r="L1164" s="152" t="n">
        <v>46176.92764111111</v>
      </c>
      <c r="M1164" s="149" t="inlineStr">
        <is>
          <t>6a0ed79d635c89859406dd23</t>
        </is>
      </c>
    </row>
    <row r="1165">
      <c r="A1165" t="inlineStr">
        <is>
          <t>Project Notos</t>
        </is>
      </c>
      <c r="B1165" t="inlineStr">
        <is>
          <t>3.4.4.2.1</t>
        </is>
      </c>
      <c r="C1165" s="15" t="inlineStr">
        <is>
          <t>677006 - USt-Erklärung 2024</t>
        </is>
      </c>
      <c r="D1165" s="20" t="inlineStr">
        <is>
          <t>Out-of-Scope</t>
        </is>
      </c>
      <c r="F1165" s="151">
        <f>HYPERLINK("https://app.global.datasite.com/webviewer/?projectId=696652ec0dc07cc02daa26a0&amp;documentId=6a0ed7e3d7ab6a4d055af41b","677006 - USt-Erklärung 2024")</f>
        <v/>
      </c>
      <c r="G1165" t="inlineStr">
        <is>
          <t>DOCUMENT</t>
        </is>
      </c>
      <c r="H1165" t="inlineStr">
        <is>
          <t>pdf</t>
        </is>
      </c>
      <c r="I1165" t="inlineStr">
        <is>
          <t>DOWNLOAD</t>
        </is>
      </c>
      <c r="J1165" t="n">
        <v>0.05542373</v>
      </c>
      <c r="K1165" t="inlineStr">
        <is>
          <t>Unread</t>
        </is>
      </c>
      <c r="L1165" s="153" t="n">
        <v>46176.92764111111</v>
      </c>
      <c r="M1165" t="inlineStr">
        <is>
          <t>6a0ed7e3d7ab6a4d055af41b</t>
        </is>
      </c>
    </row>
    <row r="1166">
      <c r="A1166" t="inlineStr">
        <is>
          <t>Project Notos</t>
        </is>
      </c>
      <c r="B1166" t="inlineStr">
        <is>
          <t>3.4.4.2.2</t>
        </is>
      </c>
      <c r="C1166" s="15" t="inlineStr">
        <is>
          <t xml:space="preserve">699873 - USt-Mitteilung 2024 </t>
        </is>
      </c>
      <c r="D1166" s="20" t="inlineStr">
        <is>
          <t>Out-of-Scope</t>
        </is>
      </c>
      <c r="F1166" s="151">
        <f>HYPERLINK("https://app.global.datasite.com/webviewer/?projectId=696652ec0dc07cc02daa26a0&amp;documentId=6a0ed7feb68d85fb036e2ff4","699873 - USt-Mitteilung 2024 ")</f>
        <v/>
      </c>
      <c r="G1166" t="inlineStr">
        <is>
          <t>DOCUMENT</t>
        </is>
      </c>
      <c r="H1166" t="inlineStr">
        <is>
          <t>pdf</t>
        </is>
      </c>
      <c r="I1166" t="inlineStr">
        <is>
          <t>DOWNLOAD</t>
        </is>
      </c>
      <c r="J1166" t="n">
        <v>0.08983135</v>
      </c>
      <c r="K1166" t="inlineStr">
        <is>
          <t>Unread</t>
        </is>
      </c>
      <c r="L1166" s="153" t="n">
        <v>46176.92764111111</v>
      </c>
      <c r="M1166" t="inlineStr">
        <is>
          <t>6a0ed7feb68d85fb036e2ff4</t>
        </is>
      </c>
    </row>
    <row r="1167">
      <c r="A1167" s="154" t="inlineStr">
        <is>
          <t>Project Notos</t>
        </is>
      </c>
      <c r="B1167" s="154" t="inlineStr">
        <is>
          <t>3.4.4.3</t>
        </is>
      </c>
      <c r="C1167" s="155" t="inlineStr">
        <is>
          <t>2021</t>
        </is>
      </c>
      <c r="D1167" s="156" t="n"/>
      <c r="E1167" s="156" t="n"/>
      <c r="F1167" s="157">
        <f>HYPERLINK("https://app.global.datasite.com/platform/container/696652ec0dc07cc02daa26a0/documents/content/index/6a3befa00acba839f1a3ef97","2021")</f>
        <v/>
      </c>
      <c r="G1167" s="154" t="inlineStr">
        <is>
          <t>FOLDER</t>
        </is>
      </c>
      <c r="H1167" s="154" t="n"/>
      <c r="I1167" s="154" t="inlineStr">
        <is>
          <t>DOWNLOAD</t>
        </is>
      </c>
      <c r="J1167" s="154" t="n"/>
      <c r="K1167" s="154" t="inlineStr">
        <is>
          <t>Unread</t>
        </is>
      </c>
      <c r="L1167" s="158" t="n">
        <v>46198.64631267361</v>
      </c>
      <c r="M1167" s="154" t="inlineStr">
        <is>
          <t>6a3befa00acba839f1a3ef97</t>
        </is>
      </c>
    </row>
    <row r="1168">
      <c r="A1168" s="154" t="inlineStr">
        <is>
          <t>Project Notos</t>
        </is>
      </c>
      <c r="B1168" s="154" t="inlineStr">
        <is>
          <t>3.4.4.3.1</t>
        </is>
      </c>
      <c r="C1168" s="155" t="inlineStr">
        <is>
          <t>FT_UStE_2021</t>
        </is>
      </c>
      <c r="D1168" s="156" t="n"/>
      <c r="E1168" s="156" t="n"/>
      <c r="F1168" s="157">
        <f>HYPERLINK("https://app.global.datasite.com/webviewer/?projectId=696652ec0dc07cc02daa26a0&amp;documentId=6a3befaf75fdd9efe11e4eef","FT_UStE_2021")</f>
        <v/>
      </c>
      <c r="G1168" s="154" t="inlineStr">
        <is>
          <t>DOCUMENT</t>
        </is>
      </c>
      <c r="H1168" s="154" t="inlineStr">
        <is>
          <t>pdf</t>
        </is>
      </c>
      <c r="I1168" s="154" t="inlineStr">
        <is>
          <t>DOWNLOAD</t>
        </is>
      </c>
      <c r="J1168" s="154" t="n">
        <v>0.06299399999999999</v>
      </c>
      <c r="K1168" s="154" t="inlineStr">
        <is>
          <t>Unread</t>
        </is>
      </c>
      <c r="L1168" s="158" t="n">
        <v>46198.64631221065</v>
      </c>
      <c r="M1168" s="154" t="inlineStr">
        <is>
          <t>6a3befaf75fdd9efe11e4eef</t>
        </is>
      </c>
    </row>
    <row r="1169">
      <c r="A1169" s="154" t="inlineStr">
        <is>
          <t>Project Notos</t>
        </is>
      </c>
      <c r="B1169" s="154" t="inlineStr">
        <is>
          <t>3.4.4.3.2</t>
        </is>
      </c>
      <c r="C1169" s="155" t="inlineStr">
        <is>
          <t>FT_609090 - USt-Mitteilung 2021_</t>
        </is>
      </c>
      <c r="D1169" s="156" t="n"/>
      <c r="E1169" s="156" t="n"/>
      <c r="F1169" s="157">
        <f>HYPERLINK("https://app.global.datasite.com/webviewer/?projectId=696652ec0dc07cc02daa26a0&amp;documentId=6a3befaf75fdd9efe11e4ef0","FT_609090 - USt-Mitteilung 2021_")</f>
        <v/>
      </c>
      <c r="G1169" s="154" t="inlineStr">
        <is>
          <t>DOCUMENT</t>
        </is>
      </c>
      <c r="H1169" s="154" t="inlineStr">
        <is>
          <t>pdf</t>
        </is>
      </c>
      <c r="I1169" s="154" t="inlineStr">
        <is>
          <t>DOWNLOAD</t>
        </is>
      </c>
      <c r="J1169" s="154" t="n">
        <v>0.15611171</v>
      </c>
      <c r="K1169" s="154" t="inlineStr">
        <is>
          <t>Unread</t>
        </is>
      </c>
      <c r="L1169" s="158" t="n">
        <v>46198.64631221065</v>
      </c>
      <c r="M1169" s="154" t="inlineStr">
        <is>
          <t>6a3befaf75fdd9efe11e4ef0</t>
        </is>
      </c>
    </row>
    <row r="1170">
      <c r="A1170" s="154" t="inlineStr">
        <is>
          <t>Project Notos</t>
        </is>
      </c>
      <c r="B1170" s="154" t="inlineStr">
        <is>
          <t>3.4.4.4</t>
        </is>
      </c>
      <c r="C1170" s="155" t="inlineStr">
        <is>
          <t>2022</t>
        </is>
      </c>
      <c r="D1170" s="156" t="n"/>
      <c r="E1170" s="156" t="n"/>
      <c r="F1170" s="157">
        <f>HYPERLINK("https://app.global.datasite.com/platform/container/696652ec0dc07cc02daa26a0/documents/content/index/6a3bf01baa5a153ebd49e4a7","2022")</f>
        <v/>
      </c>
      <c r="G1170" s="154" t="inlineStr">
        <is>
          <t>FOLDER</t>
        </is>
      </c>
      <c r="H1170" s="154" t="n"/>
      <c r="I1170" s="154" t="inlineStr">
        <is>
          <t>DOWNLOAD</t>
        </is>
      </c>
      <c r="J1170" s="154" t="n"/>
      <c r="K1170" s="154" t="inlineStr">
        <is>
          <t>Unread</t>
        </is>
      </c>
      <c r="L1170" s="158" t="n">
        <v>46198.64675106481</v>
      </c>
      <c r="M1170" s="154" t="inlineStr">
        <is>
          <t>6a3bf01baa5a153ebd49e4a7</t>
        </is>
      </c>
    </row>
    <row r="1171">
      <c r="A1171" s="154" t="inlineStr">
        <is>
          <t>Project Notos</t>
        </is>
      </c>
      <c r="B1171" s="154" t="inlineStr">
        <is>
          <t>3.4.4.4.1</t>
        </is>
      </c>
      <c r="C1171" s="155" t="inlineStr">
        <is>
          <t>FT_UStE_2022</t>
        </is>
      </c>
      <c r="D1171" s="156" t="n"/>
      <c r="E1171" s="156" t="n"/>
      <c r="F1171" s="157">
        <f>HYPERLINK("https://app.global.datasite.com/webviewer/?projectId=696652ec0dc07cc02daa26a0&amp;documentId=6a3bf024d3e46919af311827","FT_UStE_2022")</f>
        <v/>
      </c>
      <c r="G1171" s="154" t="inlineStr">
        <is>
          <t>DOCUMENT</t>
        </is>
      </c>
      <c r="H1171" s="154" t="inlineStr">
        <is>
          <t>pdf</t>
        </is>
      </c>
      <c r="I1171" s="154" t="inlineStr">
        <is>
          <t>DOWNLOAD</t>
        </is>
      </c>
      <c r="J1171" s="154" t="n">
        <v>0.05846118</v>
      </c>
      <c r="K1171" s="154" t="inlineStr">
        <is>
          <t>Unread</t>
        </is>
      </c>
      <c r="L1171" s="158" t="n">
        <v>46198.64675064815</v>
      </c>
      <c r="M1171" s="154" t="inlineStr">
        <is>
          <t>6a3bf024d3e46919af311827</t>
        </is>
      </c>
    </row>
    <row r="1172">
      <c r="A1172" s="154" t="inlineStr">
        <is>
          <t>Project Notos</t>
        </is>
      </c>
      <c r="B1172" s="154" t="inlineStr">
        <is>
          <t>3.4.4.4.2</t>
        </is>
      </c>
      <c r="C1172" s="155" t="inlineStr">
        <is>
          <t>FT_599461 - USt-Mitteilung 2022_</t>
        </is>
      </c>
      <c r="D1172" s="156" t="n"/>
      <c r="E1172" s="156" t="n"/>
      <c r="F1172" s="157">
        <f>HYPERLINK("https://app.global.datasite.com/webviewer/?projectId=696652ec0dc07cc02daa26a0&amp;documentId=6a3bf024d3e46919af311828","FT_599461 - USt-Mitteilung 2022_")</f>
        <v/>
      </c>
      <c r="G1172" s="154" t="inlineStr">
        <is>
          <t>DOCUMENT</t>
        </is>
      </c>
      <c r="H1172" s="154" t="inlineStr">
        <is>
          <t>pdf</t>
        </is>
      </c>
      <c r="I1172" s="154" t="inlineStr">
        <is>
          <t>DOWNLOAD</t>
        </is>
      </c>
      <c r="J1172" s="154" t="n">
        <v>0.06262682999999999</v>
      </c>
      <c r="K1172" s="154" t="inlineStr">
        <is>
          <t>Unread</t>
        </is>
      </c>
      <c r="L1172" s="158" t="n">
        <v>46198.64675064815</v>
      </c>
      <c r="M1172" s="154" t="inlineStr">
        <is>
          <t>6a3bf024d3e46919af311828</t>
        </is>
      </c>
    </row>
    <row r="1173">
      <c r="A1173" s="149" t="inlineStr">
        <is>
          <t>Project Notos</t>
        </is>
      </c>
      <c r="B1173" s="149" t="inlineStr">
        <is>
          <t>3.4.5</t>
        </is>
      </c>
      <c r="C1173" s="17" t="inlineStr">
        <is>
          <t>Tax audits</t>
        </is>
      </c>
      <c r="D1173" s="25" t="n"/>
      <c r="F1173" s="150">
        <f>HYPERLINK("https://app.global.datasite.com/platform/container/696652ec0dc07cc02daa26a0/documents/content/index/69e1e295746bfba5f03d479f","Tax audits")</f>
        <v/>
      </c>
      <c r="G1173" s="149" t="inlineStr">
        <is>
          <t>FOLDER</t>
        </is>
      </c>
      <c r="H1173" s="149" t="n"/>
      <c r="I1173" s="149" t="inlineStr">
        <is>
          <t>DOWNLOAD</t>
        </is>
      </c>
      <c r="J1173" s="149" t="n"/>
      <c r="K1173" s="149" t="inlineStr">
        <is>
          <t>Unread</t>
        </is>
      </c>
      <c r="L1173" s="152" t="n">
        <v>46176.92764111111</v>
      </c>
      <c r="M1173" s="149" t="inlineStr">
        <is>
          <t>69e1e295746bfba5f03d479f</t>
        </is>
      </c>
    </row>
    <row r="1174">
      <c r="A1174" t="inlineStr">
        <is>
          <t>Project Notos</t>
        </is>
      </c>
      <c r="B1174" t="inlineStr">
        <is>
          <t>3.4.5.1</t>
        </is>
      </c>
      <c r="C1174" s="15" t="inlineStr">
        <is>
          <t>600911 - Bescheid Lohnsteueraußenprüfung vom 18.07.2024</t>
        </is>
      </c>
      <c r="D1174" s="20" t="inlineStr">
        <is>
          <t>Out-of-Scope</t>
        </is>
      </c>
      <c r="F1174" s="151">
        <f>HYPERLINK("https://app.global.datasite.com/webviewer/?projectId=696652ec0dc07cc02daa26a0&amp;documentId=69e1f1193aa1e1a79203157c","600911 - Bescheid Lohnsteueraußenprüfung vom 18.07.2024")</f>
        <v/>
      </c>
      <c r="G1174" t="inlineStr">
        <is>
          <t>DOCUMENT</t>
        </is>
      </c>
      <c r="H1174" t="inlineStr">
        <is>
          <t>pdf</t>
        </is>
      </c>
      <c r="I1174" t="inlineStr">
        <is>
          <t>DOWNLOAD</t>
        </is>
      </c>
      <c r="J1174" t="n">
        <v>0.57277584</v>
      </c>
      <c r="K1174" t="inlineStr">
        <is>
          <t>Unread</t>
        </is>
      </c>
      <c r="L1174" s="153" t="n">
        <v>46176.92764111111</v>
      </c>
      <c r="M1174" t="inlineStr">
        <is>
          <t>69e1f1193aa1e1a79203157c</t>
        </is>
      </c>
    </row>
    <row r="1175">
      <c r="A1175" t="inlineStr">
        <is>
          <t>Project Notos</t>
        </is>
      </c>
      <c r="B1175" t="inlineStr">
        <is>
          <t>3.4.5.2</t>
        </is>
      </c>
      <c r="C1175" s="15" t="inlineStr">
        <is>
          <t>BP-Bericht 31_08_2020 (2014-2016)</t>
        </is>
      </c>
      <c r="D1175" s="20" t="inlineStr">
        <is>
          <t>Out-of-Scope</t>
        </is>
      </c>
      <c r="F1175" s="151">
        <f>HYPERLINK("https://app.global.datasite.com/webviewer/?projectId=696652ec0dc07cc02daa26a0&amp;documentId=69e1f1193aa1e1a79203157d","BP-Bericht 31_08_2020 (2014-2016)")</f>
        <v/>
      </c>
      <c r="G1175" t="inlineStr">
        <is>
          <t>DOCUMENT</t>
        </is>
      </c>
      <c r="H1175" t="inlineStr">
        <is>
          <t>pdf</t>
        </is>
      </c>
      <c r="I1175" t="inlineStr">
        <is>
          <t>DOWNLOAD</t>
        </is>
      </c>
      <c r="J1175" t="n">
        <v>8.04917144</v>
      </c>
      <c r="K1175" t="inlineStr">
        <is>
          <t>Unread</t>
        </is>
      </c>
      <c r="L1175" s="153" t="n">
        <v>46176.92764111111</v>
      </c>
      <c r="M1175" t="inlineStr">
        <is>
          <t>69e1f1193aa1e1a79203157d</t>
        </is>
      </c>
    </row>
    <row r="1176">
      <c r="A1176" s="154" t="inlineStr">
        <is>
          <t>Project Notos</t>
        </is>
      </c>
      <c r="B1176" s="154" t="inlineStr">
        <is>
          <t>3.4.6</t>
        </is>
      </c>
      <c r="C1176" s="155" t="inlineStr">
        <is>
          <t>Einreichung Steuererklärungen 2020-2024</t>
        </is>
      </c>
      <c r="D1176" s="156" t="n"/>
      <c r="E1176" s="156" t="n"/>
      <c r="F1176" s="157">
        <f>HYPERLINK("https://app.global.datasite.com/webviewer/?projectId=696652ec0dc07cc02daa26a0&amp;documentId=6a3bf14ad3e46919af311871","Einreichung Steuererklärungen 2020-2024")</f>
        <v/>
      </c>
      <c r="G1176" s="154" t="inlineStr">
        <is>
          <t>DOCUMENT</t>
        </is>
      </c>
      <c r="H1176" s="154" t="inlineStr">
        <is>
          <t>xlsx</t>
        </is>
      </c>
      <c r="I1176" s="154" t="inlineStr">
        <is>
          <t>DOWNLOAD</t>
        </is>
      </c>
      <c r="J1176" s="154" t="n">
        <v>0.00954818</v>
      </c>
      <c r="K1176" s="154" t="inlineStr">
        <is>
          <t>Unread</t>
        </is>
      </c>
      <c r="L1176" s="158" t="n">
        <v>46198.64940410879</v>
      </c>
      <c r="M1176" s="154" t="inlineStr">
        <is>
          <t>6a3bf14ad3e46919af311871</t>
        </is>
      </c>
    </row>
    <row r="1177">
      <c r="A1177" s="149" t="inlineStr">
        <is>
          <t>Project Notos</t>
        </is>
      </c>
      <c r="B1177" s="149" t="inlineStr">
        <is>
          <t>3.5</t>
        </is>
      </c>
      <c r="C1177" s="17" t="inlineStr">
        <is>
          <t>Innerio Group GmbH (IG)</t>
        </is>
      </c>
      <c r="D1177" s="25" t="n"/>
      <c r="F1177" s="150">
        <f>HYPERLINK("https://app.global.datasite.com/platform/container/696652ec0dc07cc02daa26a0/documents/content/index/698cb7348a98cfb9f910d6d8","Innerio Group GmbH (IG)")</f>
        <v/>
      </c>
      <c r="G1177" s="149" t="inlineStr">
        <is>
          <t>FOLDER</t>
        </is>
      </c>
      <c r="H1177" s="149" t="n"/>
      <c r="I1177" s="149" t="inlineStr">
        <is>
          <t>DOWNLOAD</t>
        </is>
      </c>
      <c r="J1177" s="149" t="n"/>
      <c r="K1177" s="149" t="inlineStr">
        <is>
          <t>Unread</t>
        </is>
      </c>
      <c r="L1177" s="152" t="n">
        <v>46176.92764111111</v>
      </c>
      <c r="M1177" s="149" t="inlineStr">
        <is>
          <t>698cb7348a98cfb9f910d6d8</t>
        </is>
      </c>
    </row>
    <row r="1178">
      <c r="A1178" s="149" t="inlineStr">
        <is>
          <t>Project Notos</t>
        </is>
      </c>
      <c r="B1178" s="149" t="inlineStr">
        <is>
          <t>3.5.1</t>
        </is>
      </c>
      <c r="C1178" s="17" t="inlineStr">
        <is>
          <t>Tax compliance</t>
        </is>
      </c>
      <c r="D1178" s="25" t="n"/>
      <c r="F1178" s="150">
        <f>HYPERLINK("https://app.global.datasite.com/platform/container/696652ec0dc07cc02daa26a0/documents/content/index/69dc9ca74dbaeb41dce0478d","Tax compliance")</f>
        <v/>
      </c>
      <c r="G1178" s="149" t="inlineStr">
        <is>
          <t>FOLDER</t>
        </is>
      </c>
      <c r="H1178" s="149" t="n"/>
      <c r="I1178" s="149" t="inlineStr">
        <is>
          <t>DOWNLOAD</t>
        </is>
      </c>
      <c r="J1178" s="149" t="n"/>
      <c r="K1178" s="149" t="inlineStr">
        <is>
          <t>Unread</t>
        </is>
      </c>
      <c r="L1178" s="152" t="n">
        <v>46176.92764111111</v>
      </c>
      <c r="M1178" s="149" t="inlineStr">
        <is>
          <t>69dc9ca74dbaeb41dce0478d</t>
        </is>
      </c>
    </row>
    <row r="1179">
      <c r="A1179" t="inlineStr">
        <is>
          <t>Project Notos</t>
        </is>
      </c>
      <c r="B1179" t="inlineStr">
        <is>
          <t>3.5.1.1</t>
        </is>
      </c>
      <c r="C1179" s="15" t="inlineStr">
        <is>
          <t>260408_Overview Tax</t>
        </is>
      </c>
      <c r="D1179" s="20" t="inlineStr">
        <is>
          <t>Out-of-Scope</t>
        </is>
      </c>
      <c r="F1179" s="151">
        <f>HYPERLINK("https://app.global.datasite.com/webviewer/?projectId=696652ec0dc07cc02daa26a0&amp;documentId=69e0efc0aad32439d8b48d70","260408_Overview Tax")</f>
        <v/>
      </c>
      <c r="G1179" t="inlineStr">
        <is>
          <t>DOCUMENT</t>
        </is>
      </c>
      <c r="H1179" t="inlineStr">
        <is>
          <t>xlsx</t>
        </is>
      </c>
      <c r="I1179" t="inlineStr">
        <is>
          <t>DOWNLOAD</t>
        </is>
      </c>
      <c r="J1179" t="n">
        <v>0.00848293</v>
      </c>
      <c r="K1179" t="inlineStr">
        <is>
          <t>Unread</t>
        </is>
      </c>
      <c r="L1179" s="153" t="n">
        <v>46176.92764111111</v>
      </c>
      <c r="M1179" t="inlineStr">
        <is>
          <t>69e0efc0aad32439d8b48d70</t>
        </is>
      </c>
    </row>
    <row r="1180">
      <c r="A1180" t="inlineStr">
        <is>
          <t>Project Notos</t>
        </is>
      </c>
      <c r="B1180" t="inlineStr">
        <is>
          <t>3.5.1.2</t>
        </is>
      </c>
      <c r="C1180" s="15" t="inlineStr">
        <is>
          <t>IG Finanzamt 8.4.26</t>
        </is>
      </c>
      <c r="D1180" s="20" t="inlineStr">
        <is>
          <t>Out-of-Scope</t>
        </is>
      </c>
      <c r="F1180" s="151">
        <f>HYPERLINK("https://app.global.datasite.com/webviewer/?projectId=696652ec0dc07cc02daa26a0&amp;documentId=69e0f00f7ff004c21af4bdc5","IG Finanzamt 8.4.26")</f>
        <v/>
      </c>
      <c r="G1180" t="inlineStr">
        <is>
          <t>DOCUMENT</t>
        </is>
      </c>
      <c r="H1180" t="inlineStr">
        <is>
          <t>pdf</t>
        </is>
      </c>
      <c r="I1180" t="inlineStr">
        <is>
          <t>DOWNLOAD</t>
        </is>
      </c>
      <c r="J1180" t="n">
        <v>0.78457641</v>
      </c>
      <c r="K1180" t="inlineStr">
        <is>
          <t>Unread</t>
        </is>
      </c>
      <c r="L1180" s="153" t="n">
        <v>46176.92764111111</v>
      </c>
      <c r="M1180" t="inlineStr">
        <is>
          <t>69e0f00f7ff004c21af4bdc5</t>
        </is>
      </c>
    </row>
    <row r="1181">
      <c r="A1181" t="inlineStr">
        <is>
          <t>Project Notos</t>
        </is>
      </c>
      <c r="B1181" t="inlineStr">
        <is>
          <t>3.5.1.3</t>
        </is>
      </c>
      <c r="C1181" t="inlineStr">
        <is>
          <t>IG_Finonline_2026 06 16</t>
        </is>
      </c>
      <c r="D1181" s="20" t="inlineStr">
        <is>
          <t>Out-of-Scope</t>
        </is>
      </c>
      <c r="E1181" s="35" t="n"/>
      <c r="F1181" s="151" t="n">
        <v>0</v>
      </c>
      <c r="G1181" t="inlineStr">
        <is>
          <t>DOCUMENT</t>
        </is>
      </c>
      <c r="H1181" t="inlineStr">
        <is>
          <t>pdf</t>
        </is>
      </c>
      <c r="I1181" t="inlineStr">
        <is>
          <t>DOWNLOAD</t>
        </is>
      </c>
      <c r="J1181" t="n">
        <v>1.28845977</v>
      </c>
      <c r="K1181" t="inlineStr">
        <is>
          <t>Unread</t>
        </is>
      </c>
      <c r="L1181" s="153" t="n">
        <v>46191.68077209491</v>
      </c>
      <c r="M1181" t="inlineStr">
        <is>
          <t>6a33ad49a3ca62c71f3cd8d8</t>
        </is>
      </c>
    </row>
    <row r="1182">
      <c r="A1182" s="149" t="inlineStr">
        <is>
          <t>Project Notos</t>
        </is>
      </c>
      <c r="B1182" s="149" t="inlineStr">
        <is>
          <t>3.5.2</t>
        </is>
      </c>
      <c r="C1182" s="17" t="inlineStr">
        <is>
          <t>CIT</t>
        </is>
      </c>
      <c r="D1182" s="25" t="n"/>
      <c r="F1182" s="150">
        <f>HYPERLINK("https://app.global.datasite.com/platform/container/696652ec0dc07cc02daa26a0/documents/content/index/69dc9ca74dbaeb41dce0478e","CIT")</f>
        <v/>
      </c>
      <c r="G1182" s="149" t="inlineStr">
        <is>
          <t>FOLDER</t>
        </is>
      </c>
      <c r="H1182" s="149" t="n"/>
      <c r="I1182" s="149" t="inlineStr">
        <is>
          <t>DOWNLOAD</t>
        </is>
      </c>
      <c r="J1182" s="149" t="n"/>
      <c r="K1182" s="149" t="inlineStr">
        <is>
          <t>Unread</t>
        </is>
      </c>
      <c r="L1182" s="152" t="n">
        <v>46176.92764111111</v>
      </c>
      <c r="M1182" s="149" t="inlineStr">
        <is>
          <t>69dc9ca74dbaeb41dce0478e</t>
        </is>
      </c>
    </row>
    <row r="1183">
      <c r="A1183" t="inlineStr">
        <is>
          <t>Project Notos</t>
        </is>
      </c>
      <c r="B1183" t="inlineStr">
        <is>
          <t>3.5.2.1</t>
        </is>
      </c>
      <c r="C1183" s="15" t="inlineStr">
        <is>
          <t>K1 2024_vorläufig</t>
        </is>
      </c>
      <c r="D1183" s="20" t="inlineStr">
        <is>
          <t>Out-of-Scope</t>
        </is>
      </c>
      <c r="F1183" s="151">
        <f>HYPERLINK("https://app.global.datasite.com/webviewer/?projectId=696652ec0dc07cc02daa26a0&amp;documentId=69e0f0e17a0ce9072ac68098","K1 2024_vorläufig")</f>
        <v/>
      </c>
      <c r="G1183" t="inlineStr">
        <is>
          <t>DOCUMENT</t>
        </is>
      </c>
      <c r="H1183" t="inlineStr">
        <is>
          <t>pdf</t>
        </is>
      </c>
      <c r="I1183" t="inlineStr">
        <is>
          <t>DOWNLOAD</t>
        </is>
      </c>
      <c r="J1183" t="n">
        <v>0.18230342</v>
      </c>
      <c r="K1183" t="inlineStr">
        <is>
          <t>Unread</t>
        </is>
      </c>
      <c r="L1183" s="153" t="n">
        <v>46176.92764111111</v>
      </c>
      <c r="M1183" t="inlineStr">
        <is>
          <t>69e0f0e17a0ce9072ac68098</t>
        </is>
      </c>
    </row>
    <row r="1184">
      <c r="A1184" t="inlineStr">
        <is>
          <t>Project Notos</t>
        </is>
      </c>
      <c r="B1184" t="inlineStr">
        <is>
          <t>3.5.2.2</t>
        </is>
      </c>
      <c r="C1184" s="15" t="inlineStr">
        <is>
          <t>K1 2023</t>
        </is>
      </c>
      <c r="D1184" s="20" t="inlineStr">
        <is>
          <t>Out-of-Scope</t>
        </is>
      </c>
      <c r="F1184" s="151">
        <f>HYPERLINK("https://app.global.datasite.com/webviewer/?projectId=696652ec0dc07cc02daa26a0&amp;documentId=69e0f0e17a0ce9072ac6809c","K1 2023")</f>
        <v/>
      </c>
      <c r="G1184" t="inlineStr">
        <is>
          <t>DOCUMENT</t>
        </is>
      </c>
      <c r="H1184" t="inlineStr">
        <is>
          <t>pdf</t>
        </is>
      </c>
      <c r="I1184" t="inlineStr">
        <is>
          <t>DOWNLOAD</t>
        </is>
      </c>
      <c r="J1184" t="n">
        <v>0.12792205</v>
      </c>
      <c r="K1184" t="inlineStr">
        <is>
          <t>Unread</t>
        </is>
      </c>
      <c r="L1184" s="153" t="n">
        <v>46176.92764111111</v>
      </c>
      <c r="M1184" t="inlineStr">
        <is>
          <t>69e0f0e17a0ce9072ac6809c</t>
        </is>
      </c>
    </row>
    <row r="1185">
      <c r="A1185" t="inlineStr">
        <is>
          <t>Project Notos</t>
        </is>
      </c>
      <c r="B1185" t="inlineStr">
        <is>
          <t>3.5.2.3</t>
        </is>
      </c>
      <c r="C1185" s="15" t="inlineStr">
        <is>
          <t>MWR 20-24</t>
        </is>
      </c>
      <c r="D1185" s="20" t="inlineStr">
        <is>
          <t>Out-of-Scope</t>
        </is>
      </c>
      <c r="F1185" s="151">
        <f>HYPERLINK("https://app.global.datasite.com/webviewer/?projectId=696652ec0dc07cc02daa26a0&amp;documentId=69e0f11ca42781c98337bede","MWR 20-24")</f>
        <v/>
      </c>
      <c r="G1185" t="inlineStr">
        <is>
          <t>DOCUMENT</t>
        </is>
      </c>
      <c r="H1185" t="inlineStr">
        <is>
          <t>xlsx</t>
        </is>
      </c>
      <c r="I1185" t="inlineStr">
        <is>
          <t>DOWNLOAD</t>
        </is>
      </c>
      <c r="J1185" t="n">
        <v>0.02733612</v>
      </c>
      <c r="K1185" t="inlineStr">
        <is>
          <t>Unread</t>
        </is>
      </c>
      <c r="L1185" s="153" t="n">
        <v>46176.92764111111</v>
      </c>
      <c r="M1185" t="inlineStr">
        <is>
          <t>69e0f11ca42781c98337bede</t>
        </is>
      </c>
    </row>
    <row r="1186">
      <c r="A1186" t="inlineStr">
        <is>
          <t>Project Notos</t>
        </is>
      </c>
      <c r="B1186" t="inlineStr">
        <is>
          <t>3.5.2.4</t>
        </is>
      </c>
      <c r="C1186" s="15" t="inlineStr">
        <is>
          <t>Evi Konto 31.12.2024</t>
        </is>
      </c>
      <c r="D1186" s="20" t="inlineStr">
        <is>
          <t>Out-of-Scope</t>
        </is>
      </c>
      <c r="F1186" s="151">
        <f>HYPERLINK("https://app.global.datasite.com/webviewer/?projectId=696652ec0dc07cc02daa26a0&amp;documentId=69e0f161bf6069a56375cf64","Evi Konto 31.12.2024")</f>
        <v/>
      </c>
      <c r="G1186" t="inlineStr">
        <is>
          <t>DOCUMENT</t>
        </is>
      </c>
      <c r="H1186" t="inlineStr">
        <is>
          <t>pdf</t>
        </is>
      </c>
      <c r="I1186" t="inlineStr">
        <is>
          <t>DOWNLOAD</t>
        </is>
      </c>
      <c r="J1186" t="n">
        <v>0.00487709</v>
      </c>
      <c r="K1186" t="inlineStr">
        <is>
          <t>Unread</t>
        </is>
      </c>
      <c r="L1186" s="153" t="n">
        <v>46176.92764111111</v>
      </c>
      <c r="M1186" t="inlineStr">
        <is>
          <t>69e0f161bf6069a56375cf64</t>
        </is>
      </c>
    </row>
    <row r="1187">
      <c r="A1187" t="inlineStr">
        <is>
          <t>Project Notos</t>
        </is>
      </c>
      <c r="B1187" t="inlineStr">
        <is>
          <t>3.5.2.5</t>
        </is>
      </c>
      <c r="C1187" t="inlineStr">
        <is>
          <t>IG - vorläufige Steuerberechnung per 31.12.2025</t>
        </is>
      </c>
      <c r="D1187" s="20" t="inlineStr">
        <is>
          <t>Out-of-Scope</t>
        </is>
      </c>
      <c r="E1187" s="35" t="n"/>
      <c r="F1187" s="151" t="n">
        <v>0</v>
      </c>
      <c r="G1187" t="inlineStr">
        <is>
          <t>DOCUMENT</t>
        </is>
      </c>
      <c r="H1187" t="inlineStr">
        <is>
          <t>pdf</t>
        </is>
      </c>
      <c r="I1187" t="inlineStr">
        <is>
          <t>DOWNLOAD</t>
        </is>
      </c>
      <c r="J1187" t="n">
        <v>0.39260196</v>
      </c>
      <c r="K1187" t="inlineStr">
        <is>
          <t>Unread</t>
        </is>
      </c>
      <c r="L1187" s="153" t="n">
        <v>46191.68332065972</v>
      </c>
      <c r="M1187" t="inlineStr">
        <is>
          <t>6a33ad13665dd2023c7132fb</t>
        </is>
      </c>
    </row>
    <row r="1188">
      <c r="A1188" s="154" t="inlineStr">
        <is>
          <t>Project Notos</t>
        </is>
      </c>
      <c r="B1188" s="154" t="inlineStr">
        <is>
          <t>3.5.2.6</t>
        </is>
      </c>
      <c r="C1188" s="155" t="inlineStr">
        <is>
          <t>IG_Evidenzkonto 2023</t>
        </is>
      </c>
      <c r="D1188" s="156" t="n"/>
      <c r="E1188" s="156" t="n"/>
      <c r="F1188" s="157">
        <f>HYPERLINK("https://app.global.datasite.com/webviewer/?projectId=696652ec0dc07cc02daa26a0&amp;documentId=6a38fb06dd0713c0eaca4942","IG_Evidenzkonto 2023")</f>
        <v/>
      </c>
      <c r="G1188" s="154" t="inlineStr">
        <is>
          <t>DOCUMENT</t>
        </is>
      </c>
      <c r="H1188" s="154" t="inlineStr">
        <is>
          <t>pdf</t>
        </is>
      </c>
      <c r="I1188" s="154" t="inlineStr">
        <is>
          <t>DOWNLOAD</t>
        </is>
      </c>
      <c r="J1188" s="154" t="n">
        <v>0.008843419999999999</v>
      </c>
      <c r="K1188" s="154" t="inlineStr">
        <is>
          <t>Unread</t>
        </is>
      </c>
      <c r="L1188" s="158" t="n">
        <v>46195.46532975695</v>
      </c>
      <c r="M1188" s="154" t="inlineStr">
        <is>
          <t>6a38fb06dd0713c0eaca4942</t>
        </is>
      </c>
    </row>
    <row r="1189">
      <c r="A1189" s="154" t="inlineStr">
        <is>
          <t>Project Notos</t>
        </is>
      </c>
      <c r="B1189" s="154" t="inlineStr">
        <is>
          <t>3.5.2.7</t>
        </is>
      </c>
      <c r="C1189" s="155" t="inlineStr">
        <is>
          <t>IG_Evidenzkonto 2024</t>
        </is>
      </c>
      <c r="D1189" s="156" t="n"/>
      <c r="E1189" s="156" t="n"/>
      <c r="F1189" s="157">
        <f>HYPERLINK("https://app.global.datasite.com/webviewer/?projectId=696652ec0dc07cc02daa26a0&amp;documentId=6a38fb06dd0713c0eaca4943","IG_Evidenzkonto 2024")</f>
        <v/>
      </c>
      <c r="G1189" s="154" t="inlineStr">
        <is>
          <t>DOCUMENT</t>
        </is>
      </c>
      <c r="H1189" s="154" t="inlineStr">
        <is>
          <t>pdf</t>
        </is>
      </c>
      <c r="I1189" s="154" t="inlineStr">
        <is>
          <t>DOWNLOAD</t>
        </is>
      </c>
      <c r="J1189" s="154" t="n">
        <v>0.008866310000000001</v>
      </c>
      <c r="K1189" s="154" t="inlineStr">
        <is>
          <t>Unread</t>
        </is>
      </c>
      <c r="L1189" s="158" t="n">
        <v>46195.46537932871</v>
      </c>
      <c r="M1189" s="154" t="inlineStr">
        <is>
          <t>6a38fb06dd0713c0eaca4943</t>
        </is>
      </c>
    </row>
    <row r="1190">
      <c r="A1190" s="149" t="inlineStr">
        <is>
          <t>Project Notos</t>
        </is>
      </c>
      <c r="B1190" s="149" t="inlineStr">
        <is>
          <t>3.5.3</t>
        </is>
      </c>
      <c r="C1190" s="17" t="inlineStr">
        <is>
          <t>VAT</t>
        </is>
      </c>
      <c r="D1190" s="25" t="n"/>
      <c r="F1190" s="150">
        <f>HYPERLINK("https://app.global.datasite.com/platform/container/696652ec0dc07cc02daa26a0/documents/content/index/69dc9ca74dbaeb41dce0478f","VAT")</f>
        <v/>
      </c>
      <c r="G1190" s="149" t="inlineStr">
        <is>
          <t>FOLDER</t>
        </is>
      </c>
      <c r="H1190" s="149" t="n"/>
      <c r="I1190" s="149" t="inlineStr">
        <is>
          <t>DOWNLOAD</t>
        </is>
      </c>
      <c r="J1190" s="149" t="n"/>
      <c r="K1190" s="149" t="inlineStr">
        <is>
          <t>Unread</t>
        </is>
      </c>
      <c r="L1190" s="152" t="n">
        <v>46176.92764111111</v>
      </c>
      <c r="M1190" s="149" t="inlineStr">
        <is>
          <t>69dc9ca74dbaeb41dce0478f</t>
        </is>
      </c>
    </row>
    <row r="1191">
      <c r="A1191" t="inlineStr">
        <is>
          <t>Project Notos</t>
        </is>
      </c>
      <c r="B1191" t="inlineStr">
        <is>
          <t>3.5.3.1</t>
        </is>
      </c>
      <c r="C1191" s="15" t="inlineStr">
        <is>
          <t>U1 2023</t>
        </is>
      </c>
      <c r="D1191" s="20" t="inlineStr">
        <is>
          <t>Out-of-Scope</t>
        </is>
      </c>
      <c r="F1191" s="151">
        <f>HYPERLINK("https://app.global.datasite.com/webviewer/?projectId=696652ec0dc07cc02daa26a0&amp;documentId=69e0f0ce265b43720a74fc60","U1 2023")</f>
        <v/>
      </c>
      <c r="G1191" t="inlineStr">
        <is>
          <t>DOCUMENT</t>
        </is>
      </c>
      <c r="H1191" t="inlineStr">
        <is>
          <t>pdf</t>
        </is>
      </c>
      <c r="I1191" t="inlineStr">
        <is>
          <t>DOWNLOAD</t>
        </is>
      </c>
      <c r="J1191" t="n">
        <v>0.0656805</v>
      </c>
      <c r="K1191" t="inlineStr">
        <is>
          <t>Unread</t>
        </is>
      </c>
      <c r="L1191" s="153" t="n">
        <v>46176.92764111111</v>
      </c>
      <c r="M1191" t="inlineStr">
        <is>
          <t>69e0f0ce265b43720a74fc60</t>
        </is>
      </c>
    </row>
    <row r="1192">
      <c r="A1192" t="inlineStr">
        <is>
          <t>Project Notos</t>
        </is>
      </c>
      <c r="B1192" t="inlineStr">
        <is>
          <t>3.5.3.2</t>
        </is>
      </c>
      <c r="C1192" s="15" t="inlineStr">
        <is>
          <t>U1 2024_vorläufig</t>
        </is>
      </c>
      <c r="D1192" s="20" t="inlineStr">
        <is>
          <t>Out-of-Scope</t>
        </is>
      </c>
      <c r="F1192" s="151">
        <f>HYPERLINK("https://app.global.datasite.com/webviewer/?projectId=696652ec0dc07cc02daa26a0&amp;documentId=69e0f0ce265b43720a74fc61","U1 2024_vorläufig")</f>
        <v/>
      </c>
      <c r="G1192" t="inlineStr">
        <is>
          <t>DOCUMENT</t>
        </is>
      </c>
      <c r="H1192" t="inlineStr">
        <is>
          <t>pdf</t>
        </is>
      </c>
      <c r="I1192" t="inlineStr">
        <is>
          <t>DOWNLOAD</t>
        </is>
      </c>
      <c r="J1192" t="n">
        <v>0.22345161</v>
      </c>
      <c r="K1192" t="inlineStr">
        <is>
          <t>Unread</t>
        </is>
      </c>
      <c r="L1192" s="153" t="n">
        <v>46176.92764111111</v>
      </c>
      <c r="M1192" t="inlineStr">
        <is>
          <t>69e0f0ce265b43720a74fc61</t>
        </is>
      </c>
    </row>
    <row r="1193">
      <c r="A1193" t="inlineStr">
        <is>
          <t>Project Notos</t>
        </is>
      </c>
      <c r="B1193" t="inlineStr">
        <is>
          <t>3.5.3.3</t>
        </is>
      </c>
      <c r="C1193" t="inlineStr">
        <is>
          <t>IG_2025_VAT returns</t>
        </is>
      </c>
      <c r="D1193" s="20" t="inlineStr">
        <is>
          <t>Out-of-Scope</t>
        </is>
      </c>
      <c r="E1193" s="35" t="n"/>
      <c r="F1193" s="151" t="n">
        <v>0</v>
      </c>
      <c r="G1193" t="inlineStr">
        <is>
          <t>DOCUMENT</t>
        </is>
      </c>
      <c r="H1193" t="inlineStr">
        <is>
          <t>xlsx</t>
        </is>
      </c>
      <c r="I1193" t="inlineStr">
        <is>
          <t>DOWNLOAD</t>
        </is>
      </c>
      <c r="J1193" t="n">
        <v>0.012887</v>
      </c>
      <c r="K1193" t="inlineStr">
        <is>
          <t>Unread</t>
        </is>
      </c>
      <c r="L1193" s="153" t="n">
        <v>46192.53571018518</v>
      </c>
      <c r="M1193" t="inlineStr">
        <is>
          <t>6a351edb0d9bc300b88427c7</t>
        </is>
      </c>
    </row>
    <row r="1194">
      <c r="A1194" t="inlineStr">
        <is>
          <t>Project Notos</t>
        </is>
      </c>
      <c r="B1194" t="inlineStr">
        <is>
          <t>3.5.3.4</t>
        </is>
      </c>
      <c r="C1194" t="inlineStr">
        <is>
          <t>IG STE 2024</t>
        </is>
      </c>
      <c r="D1194" s="20" t="inlineStr">
        <is>
          <t>Out-of-Scope</t>
        </is>
      </c>
      <c r="E1194" s="35" t="n"/>
      <c r="F1194" s="151" t="n">
        <v>0</v>
      </c>
      <c r="G1194" t="inlineStr">
        <is>
          <t>DOCUMENT</t>
        </is>
      </c>
      <c r="H1194" t="inlineStr">
        <is>
          <t>pdf</t>
        </is>
      </c>
      <c r="I1194" t="inlineStr">
        <is>
          <t>DOWNLOAD</t>
        </is>
      </c>
      <c r="J1194" t="n">
        <v>0.20731735</v>
      </c>
      <c r="K1194" t="inlineStr">
        <is>
          <t>Unread</t>
        </is>
      </c>
      <c r="L1194" s="153" t="n">
        <v>46192.6982690625</v>
      </c>
      <c r="M1194" t="inlineStr">
        <is>
          <t>6a3553e5b95b27cb3267db82</t>
        </is>
      </c>
    </row>
    <row r="1195">
      <c r="A1195" s="149" t="inlineStr">
        <is>
          <t>Project Notos</t>
        </is>
      </c>
      <c r="B1195" s="149" t="inlineStr">
        <is>
          <t>3.5.4</t>
        </is>
      </c>
      <c r="C1195" s="17" t="inlineStr">
        <is>
          <t>Assessment notices</t>
        </is>
      </c>
      <c r="D1195" s="25" t="n"/>
      <c r="F1195" s="150">
        <f>HYPERLINK("https://app.global.datasite.com/platform/container/696652ec0dc07cc02daa26a0/documents/content/index/69dc9ca74dbaeb41dce04790","Assessment notices")</f>
        <v/>
      </c>
      <c r="G1195" s="149" t="inlineStr">
        <is>
          <t>FOLDER</t>
        </is>
      </c>
      <c r="H1195" s="149" t="n"/>
      <c r="I1195" s="149" t="inlineStr">
        <is>
          <t>DOWNLOAD</t>
        </is>
      </c>
      <c r="J1195" s="149" t="n"/>
      <c r="K1195" s="149" t="inlineStr">
        <is>
          <t>Unread</t>
        </is>
      </c>
      <c r="L1195" s="152" t="n">
        <v>46176.92764111111</v>
      </c>
      <c r="M1195" s="149" t="inlineStr">
        <is>
          <t>69dc9ca74dbaeb41dce04790</t>
        </is>
      </c>
    </row>
    <row r="1196">
      <c r="A1196" t="inlineStr">
        <is>
          <t>Project Notos</t>
        </is>
      </c>
      <c r="B1196" t="inlineStr">
        <is>
          <t>3.5.4.1</t>
        </is>
      </c>
      <c r="C1196" s="15" t="inlineStr">
        <is>
          <t>KÖST Bescheid 2023</t>
        </is>
      </c>
      <c r="D1196" s="20" t="inlineStr">
        <is>
          <t>Out-of-Scope</t>
        </is>
      </c>
      <c r="F1196" s="151">
        <f>HYPERLINK("https://app.global.datasite.com/webviewer/?projectId=696652ec0dc07cc02daa26a0&amp;documentId=69e0ef1ba42781c98337bdff","KÖST Bescheid 2023")</f>
        <v/>
      </c>
      <c r="G1196" t="inlineStr">
        <is>
          <t>DOCUMENT</t>
        </is>
      </c>
      <c r="H1196" t="inlineStr">
        <is>
          <t>pdf</t>
        </is>
      </c>
      <c r="I1196" t="inlineStr">
        <is>
          <t>DOWNLOAD</t>
        </is>
      </c>
      <c r="J1196" t="n">
        <v>0.43610668</v>
      </c>
      <c r="K1196" t="inlineStr">
        <is>
          <t>Unread</t>
        </is>
      </c>
      <c r="L1196" s="153" t="n">
        <v>46176.92764111111</v>
      </c>
      <c r="M1196" t="inlineStr">
        <is>
          <t>69e0ef1ba42781c98337bdff</t>
        </is>
      </c>
    </row>
    <row r="1197">
      <c r="A1197" t="inlineStr">
        <is>
          <t>Project Notos</t>
        </is>
      </c>
      <c r="B1197" t="inlineStr">
        <is>
          <t>3.5.4.2</t>
        </is>
      </c>
      <c r="C1197" s="15" t="inlineStr">
        <is>
          <t>250321_Umsatzsteuerbescheid 2023_IG</t>
        </is>
      </c>
      <c r="D1197" s="20" t="inlineStr">
        <is>
          <t>Out-of-Scope</t>
        </is>
      </c>
      <c r="F1197" s="151">
        <f>HYPERLINK("https://app.global.datasite.com/webviewer/?projectId=696652ec0dc07cc02daa26a0&amp;documentId=69e7250bbbed515cc0165ed9","250321_Umsatzsteuerbescheid 2023_IG")</f>
        <v/>
      </c>
      <c r="G1197" t="inlineStr">
        <is>
          <t>DOCUMENT</t>
        </is>
      </c>
      <c r="H1197" t="inlineStr">
        <is>
          <t>pdf</t>
        </is>
      </c>
      <c r="I1197" t="inlineStr">
        <is>
          <t>DOWNLOAD</t>
        </is>
      </c>
      <c r="J1197" t="n">
        <v>0.38055801</v>
      </c>
      <c r="K1197" t="inlineStr">
        <is>
          <t>Unread</t>
        </is>
      </c>
      <c r="L1197" s="153" t="n">
        <v>46176.92764111111</v>
      </c>
      <c r="M1197" t="inlineStr">
        <is>
          <t>69e7250bbbed515cc0165ed9</t>
        </is>
      </c>
    </row>
    <row r="1198">
      <c r="A1198" s="149" t="inlineStr">
        <is>
          <t>Project Notos</t>
        </is>
      </c>
      <c r="B1198" s="149" t="inlineStr">
        <is>
          <t>3.5.5</t>
        </is>
      </c>
      <c r="C1198" s="17" t="inlineStr">
        <is>
          <t>TLCF</t>
        </is>
      </c>
      <c r="D1198" s="25" t="n"/>
      <c r="F1198" s="150">
        <f>HYPERLINK("https://app.global.datasite.com/platform/container/696652ec0dc07cc02daa26a0/documents/content/index/69dc9ca74dbaeb41dce04791","TLCF")</f>
        <v/>
      </c>
      <c r="G1198" s="149" t="inlineStr">
        <is>
          <t>FOLDER</t>
        </is>
      </c>
      <c r="H1198" s="149" t="n"/>
      <c r="I1198" s="149" t="inlineStr">
        <is>
          <t>DOWNLOAD</t>
        </is>
      </c>
      <c r="J1198" s="149" t="n"/>
      <c r="K1198" s="149" t="inlineStr">
        <is>
          <t>Unread</t>
        </is>
      </c>
      <c r="L1198" s="152" t="n">
        <v>46176.92764111111</v>
      </c>
      <c r="M1198" s="149" t="inlineStr">
        <is>
          <t>69dc9ca74dbaeb41dce04791</t>
        </is>
      </c>
    </row>
    <row r="1199">
      <c r="A1199" t="inlineStr">
        <is>
          <t>Project Notos</t>
        </is>
      </c>
      <c r="B1199" t="inlineStr">
        <is>
          <t>3.5.5.1</t>
        </is>
      </c>
      <c r="C1199" s="15" t="inlineStr">
        <is>
          <t>Übersicher Verlustvorträge 2019-2023</t>
        </is>
      </c>
      <c r="D1199" s="20" t="inlineStr">
        <is>
          <t>Out-of-Scope</t>
        </is>
      </c>
      <c r="F1199" s="151">
        <f>HYPERLINK("https://app.global.datasite.com/webviewer/?projectId=696652ec0dc07cc02daa26a0&amp;documentId=69e0ef44a42781c98337be1e","Übersicher Verlustvorträge 2019-2023")</f>
        <v/>
      </c>
      <c r="G1199" t="inlineStr">
        <is>
          <t>DOCUMENT</t>
        </is>
      </c>
      <c r="H1199" t="inlineStr">
        <is>
          <t>xlsx</t>
        </is>
      </c>
      <c r="I1199" t="inlineStr">
        <is>
          <t>DOWNLOAD</t>
        </is>
      </c>
      <c r="J1199" t="n">
        <v>0.00812911</v>
      </c>
      <c r="K1199" t="inlineStr">
        <is>
          <t>Unread</t>
        </is>
      </c>
      <c r="L1199" s="153" t="n">
        <v>46176.92764111111</v>
      </c>
      <c r="M1199" t="inlineStr">
        <is>
          <t>69e0ef44a42781c98337be1e</t>
        </is>
      </c>
    </row>
    <row r="1200">
      <c r="A1200" s="149" t="inlineStr">
        <is>
          <t>Project Notos</t>
        </is>
      </c>
      <c r="B1200" s="149" t="inlineStr">
        <is>
          <t>3.5.6</t>
        </is>
      </c>
      <c r="C1200" s="17" t="inlineStr">
        <is>
          <t>Tax audits</t>
        </is>
      </c>
      <c r="D1200" s="25" t="n"/>
      <c r="F1200" s="150">
        <f>HYPERLINK("https://app.global.datasite.com/platform/container/696652ec0dc07cc02daa26a0/documents/content/index/69dc9ca74dbaeb41dce04792","Tax audits")</f>
        <v/>
      </c>
      <c r="G1200" s="149" t="inlineStr">
        <is>
          <t>FOLDER</t>
        </is>
      </c>
      <c r="H1200" s="149" t="n"/>
      <c r="I1200" s="149" t="inlineStr">
        <is>
          <t>DOWNLOAD</t>
        </is>
      </c>
      <c r="J1200" s="149" t="n"/>
      <c r="K1200" s="149" t="inlineStr">
        <is>
          <t>Unread</t>
        </is>
      </c>
      <c r="L1200" s="152" t="n">
        <v>46176.92764111111</v>
      </c>
      <c r="M1200" s="149" t="inlineStr">
        <is>
          <t>69dc9ca74dbaeb41dce04792</t>
        </is>
      </c>
    </row>
    <row r="1201">
      <c r="A1201" t="inlineStr">
        <is>
          <t>Project Notos</t>
        </is>
      </c>
      <c r="B1201" t="inlineStr">
        <is>
          <t>3.5.6.1</t>
        </is>
      </c>
      <c r="C1201" s="15" t="inlineStr">
        <is>
          <t>Bericht USO 06-122021 - keine Feststellungen</t>
        </is>
      </c>
      <c r="D1201" s="20" t="inlineStr">
        <is>
          <t>Out-of-Scope</t>
        </is>
      </c>
      <c r="F1201" s="151">
        <f>HYPERLINK("https://app.global.datasite.com/webviewer/?projectId=696652ec0dc07cc02daa26a0&amp;documentId=69e0ef677a0ce9072ac6803f","Bericht USO 06-122021 - keine Feststellungen")</f>
        <v/>
      </c>
      <c r="G1201" t="inlineStr">
        <is>
          <t>DOCUMENT</t>
        </is>
      </c>
      <c r="H1201" t="inlineStr">
        <is>
          <t>pdf</t>
        </is>
      </c>
      <c r="I1201" t="inlineStr">
        <is>
          <t>DOWNLOAD</t>
        </is>
      </c>
      <c r="J1201" t="n">
        <v>0.00696372</v>
      </c>
      <c r="K1201" t="inlineStr">
        <is>
          <t>Unread</t>
        </is>
      </c>
      <c r="L1201" s="153" t="n">
        <v>46176.92764111111</v>
      </c>
      <c r="M1201" t="inlineStr">
        <is>
          <t>69e0ef677a0ce9072ac6803f</t>
        </is>
      </c>
    </row>
    <row r="1202">
      <c r="A1202" s="149" t="inlineStr">
        <is>
          <t>Project Notos</t>
        </is>
      </c>
      <c r="B1202" s="149" t="inlineStr">
        <is>
          <t>3.5.7</t>
        </is>
      </c>
      <c r="C1202" s="17" t="inlineStr">
        <is>
          <t>CIT group</t>
        </is>
      </c>
      <c r="D1202" s="25" t="n"/>
      <c r="F1202" s="150">
        <f>HYPERLINK("https://app.global.datasite.com/platform/container/696652ec0dc07cc02daa26a0/documents/content/index/69dc9ca74dbaeb41dce04794","CIT group")</f>
        <v/>
      </c>
      <c r="G1202" s="149" t="inlineStr">
        <is>
          <t>FOLDER</t>
        </is>
      </c>
      <c r="H1202" s="149" t="n"/>
      <c r="I1202" s="149" t="inlineStr">
        <is>
          <t>DOWNLOAD</t>
        </is>
      </c>
      <c r="J1202" s="149" t="n"/>
      <c r="K1202" s="149" t="inlineStr">
        <is>
          <t>Unread</t>
        </is>
      </c>
      <c r="L1202" s="152" t="n">
        <v>46176.92764111111</v>
      </c>
      <c r="M1202" s="149" t="inlineStr">
        <is>
          <t>69dc9ca74dbaeb41dce04794</t>
        </is>
      </c>
    </row>
    <row r="1203">
      <c r="A1203" t="inlineStr">
        <is>
          <t>Project Notos</t>
        </is>
      </c>
      <c r="B1203" t="inlineStr">
        <is>
          <t>3.5.7.1</t>
        </is>
      </c>
      <c r="C1203" s="15" t="inlineStr">
        <is>
          <t>Gruppensteuervertrag_INNERIO Group_IIM_IHE_2024</t>
        </is>
      </c>
      <c r="D1203" s="20" t="inlineStr">
        <is>
          <t>Out-of-Scope</t>
        </is>
      </c>
      <c r="F1203" s="151">
        <f>HYPERLINK("https://app.global.datasite.com/webviewer/?projectId=696652ec0dc07cc02daa26a0&amp;documentId=69e0ef7df024e2b74ff6dc08","Gruppensteuervertrag_INNERIO Group_IIM_IHE_2024")</f>
        <v/>
      </c>
      <c r="G1203" t="inlineStr">
        <is>
          <t>DOCUMENT</t>
        </is>
      </c>
      <c r="H1203" t="inlineStr">
        <is>
          <t>pdf</t>
        </is>
      </c>
      <c r="I1203" t="inlineStr">
        <is>
          <t>DOWNLOAD</t>
        </is>
      </c>
      <c r="J1203" t="n">
        <v>4.76897239</v>
      </c>
      <c r="K1203" t="inlineStr">
        <is>
          <t>Unread</t>
        </is>
      </c>
      <c r="L1203" s="153" t="n">
        <v>46176.92764111111</v>
      </c>
      <c r="M1203" t="inlineStr">
        <is>
          <t>69e0ef7df024e2b74ff6dc08</t>
        </is>
      </c>
    </row>
    <row r="1204">
      <c r="A1204" t="inlineStr">
        <is>
          <t>Project Notos</t>
        </is>
      </c>
      <c r="B1204" t="inlineStr">
        <is>
          <t>3.5.7.2</t>
        </is>
      </c>
      <c r="C1204" s="15" t="inlineStr">
        <is>
          <t>250205_Gruppenfeststellungsbescheid 2024_IG</t>
        </is>
      </c>
      <c r="D1204" s="20" t="inlineStr">
        <is>
          <t>Out-of-Scope</t>
        </is>
      </c>
      <c r="F1204" s="151">
        <f>HYPERLINK("https://app.global.datasite.com/webviewer/?projectId=696652ec0dc07cc02daa26a0&amp;documentId=69e0ef903dbcd4a7a208270d","250205_Gruppenfeststellungsbescheid 2024_IG")</f>
        <v/>
      </c>
      <c r="G1204" t="inlineStr">
        <is>
          <t>DOCUMENT</t>
        </is>
      </c>
      <c r="H1204" t="inlineStr">
        <is>
          <t>pdf</t>
        </is>
      </c>
      <c r="I1204" t="inlineStr">
        <is>
          <t>DOWNLOAD</t>
        </is>
      </c>
      <c r="J1204" t="n">
        <v>0.35942363</v>
      </c>
      <c r="K1204" t="inlineStr">
        <is>
          <t>Unread</t>
        </is>
      </c>
      <c r="L1204" s="153" t="n">
        <v>46176.92764111111</v>
      </c>
      <c r="M1204" t="inlineStr">
        <is>
          <t>69e0ef903dbcd4a7a208270d</t>
        </is>
      </c>
    </row>
    <row r="1205">
      <c r="A1205" s="149" t="inlineStr">
        <is>
          <t>Project Notos</t>
        </is>
      </c>
      <c r="B1205" s="149" t="inlineStr">
        <is>
          <t>3.5.8</t>
        </is>
      </c>
      <c r="C1205" s="17" t="inlineStr">
        <is>
          <t>Transfer pricing</t>
        </is>
      </c>
      <c r="D1205" s="25" t="n"/>
      <c r="F1205" s="150">
        <f>HYPERLINK("https://app.global.datasite.com/platform/container/696652ec0dc07cc02daa26a0/documents/content/index/69dc9ca74dbaeb41dce04795","Transfer pricing")</f>
        <v/>
      </c>
      <c r="G1205" s="149" t="inlineStr">
        <is>
          <t>FOLDER</t>
        </is>
      </c>
      <c r="H1205" s="149" t="n"/>
      <c r="I1205" s="149" t="inlineStr">
        <is>
          <t>DOWNLOAD</t>
        </is>
      </c>
      <c r="J1205" s="149" t="n"/>
      <c r="K1205" s="149" t="inlineStr">
        <is>
          <t>Unread</t>
        </is>
      </c>
      <c r="L1205" s="152" t="n">
        <v>46176.92764111111</v>
      </c>
      <c r="M1205" s="149" t="inlineStr">
        <is>
          <t>69dc9ca74dbaeb41dce04795</t>
        </is>
      </c>
    </row>
    <row r="1206">
      <c r="A1206" t="inlineStr">
        <is>
          <t>Project Notos</t>
        </is>
      </c>
      <c r="B1206" t="inlineStr">
        <is>
          <t>3.5.8.1</t>
        </is>
      </c>
      <c r="C1206" s="15" t="inlineStr">
        <is>
          <t>250923_IC relations</t>
        </is>
      </c>
      <c r="D1206" s="20" t="inlineStr">
        <is>
          <t>Out-of-Scope</t>
        </is>
      </c>
      <c r="F1206" s="151">
        <f>HYPERLINK("https://app.global.datasite.com/webviewer/?projectId=696652ec0dc07cc02daa26a0&amp;documentId=69e1e0d7d499fb56b2d76a0f","250923_IC relations")</f>
        <v/>
      </c>
      <c r="G1206" t="inlineStr">
        <is>
          <t>DOCUMENT</t>
        </is>
      </c>
      <c r="H1206" t="inlineStr">
        <is>
          <t>xlsx</t>
        </is>
      </c>
      <c r="I1206" t="inlineStr">
        <is>
          <t>DOWNLOAD</t>
        </is>
      </c>
      <c r="J1206" t="n">
        <v>0.01554489</v>
      </c>
      <c r="K1206" t="inlineStr">
        <is>
          <t>Unread</t>
        </is>
      </c>
      <c r="L1206" s="153" t="n">
        <v>46176.92764111111</v>
      </c>
      <c r="M1206" t="inlineStr">
        <is>
          <t>69e1e0d7d499fb56b2d76a0f</t>
        </is>
      </c>
    </row>
    <row r="1207">
      <c r="A1207" s="154" t="inlineStr">
        <is>
          <t>Project Notos</t>
        </is>
      </c>
      <c r="B1207" s="154" t="inlineStr">
        <is>
          <t>3.5.9</t>
        </is>
      </c>
      <c r="C1207" s="155" t="inlineStr">
        <is>
          <t>Tax filings / Steuerakt</t>
        </is>
      </c>
      <c r="D1207" s="156" t="n"/>
      <c r="E1207" s="156" t="n"/>
      <c r="F1207" s="157">
        <f>HYPERLINK("https://app.global.datasite.com/platform/container/696652ec0dc07cc02daa26a0/documents/content/index/6a399b09a73fcd832d7683b5","Tax filings / Steuerakt")</f>
        <v/>
      </c>
      <c r="G1207" s="154" t="inlineStr">
        <is>
          <t>FOLDER</t>
        </is>
      </c>
      <c r="H1207" s="154" t="n"/>
      <c r="I1207" s="154" t="inlineStr">
        <is>
          <t>DOWNLOAD</t>
        </is>
      </c>
      <c r="J1207" s="154" t="n"/>
      <c r="K1207" s="154" t="inlineStr">
        <is>
          <t>Unread</t>
        </is>
      </c>
      <c r="L1207" s="158" t="n">
        <v>46196.40575526621</v>
      </c>
      <c r="M1207" s="154" t="inlineStr">
        <is>
          <t>6a399b09a73fcd832d7683b5</t>
        </is>
      </c>
    </row>
    <row r="1208">
      <c r="A1208" s="154" t="inlineStr">
        <is>
          <t>Project Notos</t>
        </is>
      </c>
      <c r="B1208" s="154" t="inlineStr">
        <is>
          <t>3.5.9.1</t>
        </is>
      </c>
      <c r="C1208" s="155" t="inlineStr">
        <is>
          <t>IG_Steuerakt 2023</t>
        </is>
      </c>
      <c r="D1208" s="156" t="n"/>
      <c r="E1208" s="156" t="n"/>
      <c r="F1208" s="157">
        <f>HYPERLINK("https://app.global.datasite.com/webviewer/?projectId=696652ec0dc07cc02daa26a0&amp;documentId=6a3a36141dbcfa9a411c3628","IG_Steuerakt 2023")</f>
        <v/>
      </c>
      <c r="G1208" s="154" t="inlineStr">
        <is>
          <t>DOCUMENT</t>
        </is>
      </c>
      <c r="H1208" s="154" t="inlineStr">
        <is>
          <t>pdf</t>
        </is>
      </c>
      <c r="I1208" s="154" t="inlineStr">
        <is>
          <t>DOWNLOAD</t>
        </is>
      </c>
      <c r="J1208" s="154" t="n">
        <v>0.40323162</v>
      </c>
      <c r="K1208" s="154" t="inlineStr">
        <is>
          <t>Unread</t>
        </is>
      </c>
      <c r="L1208" s="158" t="n">
        <v>46196.40589796296</v>
      </c>
      <c r="M1208" s="154" t="inlineStr">
        <is>
          <t>6a3a36141dbcfa9a411c3628</t>
        </is>
      </c>
    </row>
    <row r="1209">
      <c r="A1209" s="154" t="inlineStr">
        <is>
          <t>Project Notos</t>
        </is>
      </c>
      <c r="B1209" s="154" t="inlineStr">
        <is>
          <t>3.5.9.2</t>
        </is>
      </c>
      <c r="C1209" s="155" t="inlineStr">
        <is>
          <t>IG_Steuerakt 2024</t>
        </is>
      </c>
      <c r="D1209" s="156" t="n"/>
      <c r="E1209" s="156" t="n"/>
      <c r="F1209" s="157">
        <f>HYPERLINK("https://app.global.datasite.com/webviewer/?projectId=696652ec0dc07cc02daa26a0&amp;documentId=6a3a36141dbcfa9a411c3629","IG_Steuerakt 2024")</f>
        <v/>
      </c>
      <c r="G1209" s="154" t="inlineStr">
        <is>
          <t>DOCUMENT</t>
        </is>
      </c>
      <c r="H1209" s="154" t="inlineStr">
        <is>
          <t>pdf</t>
        </is>
      </c>
      <c r="I1209" s="154" t="inlineStr">
        <is>
          <t>DOWNLOAD</t>
        </is>
      </c>
      <c r="J1209" s="154" t="n">
        <v>0.4505558</v>
      </c>
      <c r="K1209" s="154" t="inlineStr">
        <is>
          <t>Unread</t>
        </is>
      </c>
      <c r="L1209" s="158" t="n">
        <v>46196.40589796296</v>
      </c>
      <c r="M1209" s="154" t="inlineStr">
        <is>
          <t>6a3a36141dbcfa9a411c3629</t>
        </is>
      </c>
    </row>
    <row r="1210">
      <c r="A1210" s="154" t="inlineStr">
        <is>
          <t>Project Notos</t>
        </is>
      </c>
      <c r="B1210" s="154" t="inlineStr">
        <is>
          <t>3.5.9.3</t>
        </is>
      </c>
      <c r="C1210" s="155" t="inlineStr">
        <is>
          <t>IG_Steuerakt 2025</t>
        </is>
      </c>
      <c r="D1210" s="156" t="n"/>
      <c r="E1210" s="156" t="n"/>
      <c r="F1210" s="157">
        <f>HYPERLINK("https://app.global.datasite.com/webviewer/?projectId=696652ec0dc07cc02daa26a0&amp;documentId=6a3a36141dbcfa9a411c3627","IG_Steuerakt 2025")</f>
        <v/>
      </c>
      <c r="G1210" s="154" t="inlineStr">
        <is>
          <t>DOCUMENT</t>
        </is>
      </c>
      <c r="H1210" s="154" t="inlineStr">
        <is>
          <t>pdf</t>
        </is>
      </c>
      <c r="I1210" s="154" t="inlineStr">
        <is>
          <t>DOWNLOAD</t>
        </is>
      </c>
      <c r="J1210" s="154" t="n">
        <v>0.13432216</v>
      </c>
      <c r="K1210" s="154" t="inlineStr">
        <is>
          <t>Unread</t>
        </is>
      </c>
      <c r="L1210" s="158" t="n">
        <v>46196.40575489583</v>
      </c>
      <c r="M1210" s="154" t="inlineStr">
        <is>
          <t>6a3a36141dbcfa9a411c3627</t>
        </is>
      </c>
    </row>
    <row r="1211">
      <c r="A1211" s="154" t="inlineStr">
        <is>
          <t>Project Notos</t>
        </is>
      </c>
      <c r="B1211" s="154" t="inlineStr">
        <is>
          <t>3.5.9.4</t>
        </is>
      </c>
      <c r="C1211" s="155" t="inlineStr">
        <is>
          <t>IG_Steuerakt 2026</t>
        </is>
      </c>
      <c r="D1211" s="156" t="n"/>
      <c r="E1211" s="156" t="n"/>
      <c r="F1211" s="157">
        <f>HYPERLINK("https://app.global.datasite.com/webviewer/?projectId=696652ec0dc07cc02daa26a0&amp;documentId=6a3a36141dbcfa9a411c362a","IG_Steuerakt 2026")</f>
        <v/>
      </c>
      <c r="G1211" s="154" t="inlineStr">
        <is>
          <t>DOCUMENT</t>
        </is>
      </c>
      <c r="H1211" s="154" t="inlineStr">
        <is>
          <t>pdf</t>
        </is>
      </c>
      <c r="I1211" s="154" t="inlineStr">
        <is>
          <t>DOWNLOAD</t>
        </is>
      </c>
      <c r="J1211" s="154" t="n">
        <v>0.06510734</v>
      </c>
      <c r="K1211" s="154" t="inlineStr">
        <is>
          <t>Unread</t>
        </is>
      </c>
      <c r="L1211" s="158" t="n">
        <v>46196.40602565972</v>
      </c>
      <c r="M1211" s="154" t="inlineStr">
        <is>
          <t>6a3a36141dbcfa9a411c362a</t>
        </is>
      </c>
    </row>
    <row r="1212">
      <c r="A1212" s="149" t="inlineStr">
        <is>
          <t>Project Notos</t>
        </is>
      </c>
      <c r="B1212" s="149" t="inlineStr">
        <is>
          <t>3.6</t>
        </is>
      </c>
      <c r="C1212" s="17" t="inlineStr">
        <is>
          <t>Innerio Immobilien GmbH</t>
        </is>
      </c>
      <c r="D1212" s="25" t="n"/>
      <c r="F1212" s="150">
        <f>HYPERLINK("https://app.global.datasite.com/platform/container/696652ec0dc07cc02daa26a0/documents/content/index/698cb7348a98cfb9f910d6d9","Innerio Immobilien GmbH")</f>
        <v/>
      </c>
      <c r="G1212" s="149" t="inlineStr">
        <is>
          <t>FOLDER</t>
        </is>
      </c>
      <c r="H1212" s="149" t="n"/>
      <c r="I1212" s="149" t="inlineStr">
        <is>
          <t>DOWNLOAD</t>
        </is>
      </c>
      <c r="J1212" s="149" t="n"/>
      <c r="K1212" s="149" t="inlineStr">
        <is>
          <t>Unread</t>
        </is>
      </c>
      <c r="L1212" s="152" t="n">
        <v>46176.92764111111</v>
      </c>
      <c r="M1212" s="149" t="inlineStr">
        <is>
          <t>698cb7348a98cfb9f910d6d9</t>
        </is>
      </c>
    </row>
    <row r="1213">
      <c r="A1213" s="149" t="inlineStr">
        <is>
          <t>Project Notos</t>
        </is>
      </c>
      <c r="B1213" s="149" t="inlineStr">
        <is>
          <t>3.6.1</t>
        </is>
      </c>
      <c r="C1213" s="17" t="inlineStr">
        <is>
          <t>Tax compliance</t>
        </is>
      </c>
      <c r="D1213" s="25" t="n"/>
      <c r="F1213" s="150">
        <f>HYPERLINK("https://app.global.datasite.com/platform/container/696652ec0dc07cc02daa26a0/documents/content/index/69dc9cf428eb6abc1180ce3b","Tax compliance")</f>
        <v/>
      </c>
      <c r="G1213" s="149" t="inlineStr">
        <is>
          <t>FOLDER</t>
        </is>
      </c>
      <c r="H1213" s="149" t="n"/>
      <c r="I1213" s="149" t="inlineStr">
        <is>
          <t>DOWNLOAD</t>
        </is>
      </c>
      <c r="J1213" s="149" t="n"/>
      <c r="K1213" s="149" t="inlineStr">
        <is>
          <t>Unread</t>
        </is>
      </c>
      <c r="L1213" s="152" t="n">
        <v>46176.92764111111</v>
      </c>
      <c r="M1213" s="149" t="inlineStr">
        <is>
          <t>69dc9cf428eb6abc1180ce3b</t>
        </is>
      </c>
    </row>
    <row r="1214">
      <c r="A1214" t="inlineStr">
        <is>
          <t>Project Notos</t>
        </is>
      </c>
      <c r="B1214" t="inlineStr">
        <is>
          <t>3.6.1.1</t>
        </is>
      </c>
      <c r="C1214" s="15" t="inlineStr">
        <is>
          <t>260408_Overview Tax</t>
        </is>
      </c>
      <c r="D1214" s="20" t="inlineStr">
        <is>
          <t>Out-of-Scope</t>
        </is>
      </c>
      <c r="F1214" s="151">
        <f>HYPERLINK("https://app.global.datasite.com/webviewer/?projectId=696652ec0dc07cc02daa26a0&amp;documentId=69e0dad62992b8e5629e2745","260408_Overview Tax")</f>
        <v/>
      </c>
      <c r="G1214" t="inlineStr">
        <is>
          <t>DOCUMENT</t>
        </is>
      </c>
      <c r="H1214" t="inlineStr">
        <is>
          <t>xlsx</t>
        </is>
      </c>
      <c r="I1214" t="inlineStr">
        <is>
          <t>DOWNLOAD</t>
        </is>
      </c>
      <c r="J1214" t="n">
        <v>0.009603499999999999</v>
      </c>
      <c r="K1214" t="inlineStr">
        <is>
          <t>Unread</t>
        </is>
      </c>
      <c r="L1214" s="153" t="n">
        <v>46176.92764111111</v>
      </c>
      <c r="M1214" t="inlineStr">
        <is>
          <t>69e0dad62992b8e5629e2745</t>
        </is>
      </c>
    </row>
    <row r="1215">
      <c r="A1215" t="inlineStr">
        <is>
          <t>Project Notos</t>
        </is>
      </c>
      <c r="B1215" t="inlineStr">
        <is>
          <t>3.6.1.2</t>
        </is>
      </c>
      <c r="C1215" s="15" t="inlineStr">
        <is>
          <t>IMMO Finanzamt 8.4.26</t>
        </is>
      </c>
      <c r="D1215" s="20" t="inlineStr">
        <is>
          <t>Out-of-Scope</t>
        </is>
      </c>
      <c r="F1215" s="151">
        <f>HYPERLINK("https://app.global.datasite.com/webviewer/?projectId=696652ec0dc07cc02daa26a0&amp;documentId=69e0dad62992b8e5629e2746","IMMO Finanzamt 8.4.26")</f>
        <v/>
      </c>
      <c r="G1215" t="inlineStr">
        <is>
          <t>DOCUMENT</t>
        </is>
      </c>
      <c r="H1215" t="inlineStr">
        <is>
          <t>pdf</t>
        </is>
      </c>
      <c r="I1215" t="inlineStr">
        <is>
          <t>DOWNLOAD</t>
        </is>
      </c>
      <c r="J1215" t="n">
        <v>0.06449222</v>
      </c>
      <c r="K1215" t="inlineStr">
        <is>
          <t>Unread</t>
        </is>
      </c>
      <c r="L1215" s="153" t="n">
        <v>46176.92764111111</v>
      </c>
      <c r="M1215" t="inlineStr">
        <is>
          <t>69e0dad62992b8e5629e2746</t>
        </is>
      </c>
    </row>
    <row r="1216">
      <c r="A1216" s="149" t="inlineStr">
        <is>
          <t>Project Notos</t>
        </is>
      </c>
      <c r="B1216" s="149" t="inlineStr">
        <is>
          <t>3.6.2</t>
        </is>
      </c>
      <c r="C1216" s="17" t="inlineStr">
        <is>
          <t>CIT</t>
        </is>
      </c>
      <c r="D1216" s="25" t="n"/>
      <c r="F1216" s="150">
        <f>HYPERLINK("https://app.global.datasite.com/platform/container/696652ec0dc07cc02daa26a0/documents/content/index/69dc9cf428eb6abc1180ce3c","CIT")</f>
        <v/>
      </c>
      <c r="G1216" s="149" t="inlineStr">
        <is>
          <t>FOLDER</t>
        </is>
      </c>
      <c r="H1216" s="149" t="n"/>
      <c r="I1216" s="149" t="inlineStr">
        <is>
          <t>DOWNLOAD</t>
        </is>
      </c>
      <c r="J1216" s="149" t="n"/>
      <c r="K1216" s="149" t="inlineStr">
        <is>
          <t>Unread</t>
        </is>
      </c>
      <c r="L1216" s="152" t="n">
        <v>46176.92764111111</v>
      </c>
      <c r="M1216" s="149" t="inlineStr">
        <is>
          <t>69dc9cf428eb6abc1180ce3c</t>
        </is>
      </c>
    </row>
    <row r="1217">
      <c r="A1217" t="inlineStr">
        <is>
          <t>Project Notos</t>
        </is>
      </c>
      <c r="B1217" t="inlineStr">
        <is>
          <t>3.6.2.1</t>
        </is>
      </c>
      <c r="C1217" s="15" t="inlineStr">
        <is>
          <t>Innerio Immobilien - KStek 2023</t>
        </is>
      </c>
      <c r="D1217" s="20" t="inlineStr">
        <is>
          <t>Out-of-Scope</t>
        </is>
      </c>
      <c r="F1217" s="151">
        <f>HYPERLINK("https://app.global.datasite.com/webviewer/?projectId=696652ec0dc07cc02daa26a0&amp;documentId=69e0db6607bcb1d7b6b4f6fe","Innerio Immobilien - KStek 2023")</f>
        <v/>
      </c>
      <c r="G1217" t="inlineStr">
        <is>
          <t>DOCUMENT</t>
        </is>
      </c>
      <c r="H1217" t="inlineStr">
        <is>
          <t>pdf</t>
        </is>
      </c>
      <c r="I1217" t="inlineStr">
        <is>
          <t>DOWNLOAD</t>
        </is>
      </c>
      <c r="J1217" t="n">
        <v>0.86953926</v>
      </c>
      <c r="K1217" t="inlineStr">
        <is>
          <t>Unread</t>
        </is>
      </c>
      <c r="L1217" s="153" t="n">
        <v>46176.92764111111</v>
      </c>
      <c r="M1217" t="inlineStr">
        <is>
          <t>69e0db6607bcb1d7b6b4f6fe</t>
        </is>
      </c>
    </row>
    <row r="1218">
      <c r="A1218" s="149" t="inlineStr">
        <is>
          <t>Project Notos</t>
        </is>
      </c>
      <c r="B1218" s="149" t="inlineStr">
        <is>
          <t>3.6.3</t>
        </is>
      </c>
      <c r="C1218" s="17" t="inlineStr">
        <is>
          <t>Assessment notices</t>
        </is>
      </c>
      <c r="D1218" s="25" t="n"/>
      <c r="F1218" s="150">
        <f>HYPERLINK("https://app.global.datasite.com/platform/container/696652ec0dc07cc02daa26a0/documents/content/index/69dc9cf428eb6abc1180ce3e","Assessment notices")</f>
        <v/>
      </c>
      <c r="G1218" s="149" t="inlineStr">
        <is>
          <t>FOLDER</t>
        </is>
      </c>
      <c r="H1218" s="149" t="n"/>
      <c r="I1218" s="149" t="inlineStr">
        <is>
          <t>DOWNLOAD</t>
        </is>
      </c>
      <c r="J1218" s="149" t="n"/>
      <c r="K1218" s="149" t="inlineStr">
        <is>
          <t>Unread</t>
        </is>
      </c>
      <c r="L1218" s="152" t="n">
        <v>46176.92764111111</v>
      </c>
      <c r="M1218" s="149" t="inlineStr">
        <is>
          <t>69dc9cf428eb6abc1180ce3e</t>
        </is>
      </c>
    </row>
    <row r="1219">
      <c r="A1219" t="inlineStr">
        <is>
          <t>Project Notos</t>
        </is>
      </c>
      <c r="B1219" t="inlineStr">
        <is>
          <t>3.6.3.1</t>
        </is>
      </c>
      <c r="C1219" s="15" t="inlineStr">
        <is>
          <t>250731_Feststellungsbescheid Gruppenmitglied 2023_II</t>
        </is>
      </c>
      <c r="D1219" s="20" t="inlineStr">
        <is>
          <t>Out-of-Scope</t>
        </is>
      </c>
      <c r="F1219" s="151">
        <f>HYPERLINK("https://app.global.datasite.com/webviewer/?projectId=696652ec0dc07cc02daa26a0&amp;documentId=69e0fdbdb1a3c640149ea9b3","250731_Feststellungsbescheid Gruppenmitglied 2023_II")</f>
        <v/>
      </c>
      <c r="G1219" t="inlineStr">
        <is>
          <t>DOCUMENT</t>
        </is>
      </c>
      <c r="H1219" t="inlineStr">
        <is>
          <t>pdf</t>
        </is>
      </c>
      <c r="I1219" t="inlineStr">
        <is>
          <t>DOWNLOAD</t>
        </is>
      </c>
      <c r="J1219" t="n">
        <v>0.29052257</v>
      </c>
      <c r="K1219" t="inlineStr">
        <is>
          <t>Unread</t>
        </is>
      </c>
      <c r="L1219" s="153" t="n">
        <v>46176.92764111111</v>
      </c>
      <c r="M1219" t="inlineStr">
        <is>
          <t>69e0fdbdb1a3c640149ea9b3</t>
        </is>
      </c>
    </row>
    <row r="1220">
      <c r="A1220" s="149" t="inlineStr">
        <is>
          <t>Project Notos</t>
        </is>
      </c>
      <c r="B1220" s="149" t="inlineStr">
        <is>
          <t>3.6.4</t>
        </is>
      </c>
      <c r="C1220" s="17" t="inlineStr">
        <is>
          <t>Tax audits</t>
        </is>
      </c>
      <c r="D1220" s="25" t="n"/>
      <c r="F1220" s="150">
        <f>HYPERLINK("https://app.global.datasite.com/platform/container/696652ec0dc07cc02daa26a0/documents/content/index/69dc9cf428eb6abc1180ce40","Tax audits")</f>
        <v/>
      </c>
      <c r="G1220" s="149" t="inlineStr">
        <is>
          <t>FOLDER</t>
        </is>
      </c>
      <c r="H1220" s="149" t="n"/>
      <c r="I1220" s="149" t="inlineStr">
        <is>
          <t>DOWNLOAD</t>
        </is>
      </c>
      <c r="J1220" s="149" t="n"/>
      <c r="K1220" s="149" t="inlineStr">
        <is>
          <t>Unread</t>
        </is>
      </c>
      <c r="L1220" s="152" t="n">
        <v>46176.92764111111</v>
      </c>
      <c r="M1220" s="149" t="inlineStr">
        <is>
          <t>69dc9cf428eb6abc1180ce40</t>
        </is>
      </c>
    </row>
    <row r="1221">
      <c r="A1221" t="inlineStr">
        <is>
          <t>Project Notos</t>
        </is>
      </c>
      <c r="B1221" t="inlineStr">
        <is>
          <t>3.6.4.1</t>
        </is>
      </c>
      <c r="C1221" s="15" t="inlineStr">
        <is>
          <t>2020-07-09 BP Bericht Modine Austria Immobilien GmbH</t>
        </is>
      </c>
      <c r="D1221" s="20" t="inlineStr">
        <is>
          <t>Out-of-Scope</t>
        </is>
      </c>
      <c r="F1221" s="151">
        <f>HYPERLINK("https://app.global.datasite.com/webviewer/?projectId=696652ec0dc07cc02daa26a0&amp;documentId=69e0dc5c7ff004c21af4b736","2020-07-09 BP Bericht Modine Austria Immobilien GmbH")</f>
        <v/>
      </c>
      <c r="G1221" t="inlineStr">
        <is>
          <t>DOCUMENT</t>
        </is>
      </c>
      <c r="H1221" t="inlineStr">
        <is>
          <t>pdf</t>
        </is>
      </c>
      <c r="I1221" t="inlineStr">
        <is>
          <t>DOWNLOAD</t>
        </is>
      </c>
      <c r="J1221" t="n">
        <v>0.00757598</v>
      </c>
      <c r="K1221" t="inlineStr">
        <is>
          <t>Unread</t>
        </is>
      </c>
      <c r="L1221" s="153" t="n">
        <v>46176.92764111111</v>
      </c>
      <c r="M1221" t="inlineStr">
        <is>
          <t>69e0dc5c7ff004c21af4b736</t>
        </is>
      </c>
    </row>
    <row r="1222">
      <c r="A1222" s="149" t="inlineStr">
        <is>
          <t>Project Notos</t>
        </is>
      </c>
      <c r="B1222" s="149" t="inlineStr">
        <is>
          <t>3.6.5</t>
        </is>
      </c>
      <c r="C1222" s="17" t="inlineStr">
        <is>
          <t>WHT</t>
        </is>
      </c>
      <c r="D1222" s="25" t="n"/>
      <c r="F1222" s="150">
        <f>HYPERLINK("https://app.global.datasite.com/platform/container/696652ec0dc07cc02daa26a0/documents/content/index/69dc9cf428eb6abc1180ce41","WHT")</f>
        <v/>
      </c>
      <c r="G1222" s="149" t="inlineStr">
        <is>
          <t>FOLDER</t>
        </is>
      </c>
      <c r="H1222" s="149" t="n"/>
      <c r="I1222" s="149" t="inlineStr">
        <is>
          <t>DOWNLOAD</t>
        </is>
      </c>
      <c r="J1222" s="149" t="n"/>
      <c r="K1222" s="149" t="inlineStr">
        <is>
          <t>Unread</t>
        </is>
      </c>
      <c r="L1222" s="152" t="n">
        <v>46176.92764111111</v>
      </c>
      <c r="M1222" s="149" t="inlineStr">
        <is>
          <t>69dc9cf428eb6abc1180ce41</t>
        </is>
      </c>
    </row>
    <row r="1223">
      <c r="A1223" t="inlineStr">
        <is>
          <t>Project Notos</t>
        </is>
      </c>
      <c r="B1223" t="inlineStr">
        <is>
          <t>3.6.5.1</t>
        </is>
      </c>
      <c r="C1223" s="15" t="inlineStr">
        <is>
          <t>231215_Gesellschafterbeschluss_2023</t>
        </is>
      </c>
      <c r="D1223" s="20" t="inlineStr">
        <is>
          <t>Out-of-Scope</t>
        </is>
      </c>
      <c r="F1223" s="151">
        <f>HYPERLINK("https://app.global.datasite.com/webviewer/?projectId=696652ec0dc07cc02daa26a0&amp;documentId=69e0dd2c7ff004c21af4b76c","231215_Gesellschafterbeschluss_2023")</f>
        <v/>
      </c>
      <c r="G1223" t="inlineStr">
        <is>
          <t>DOCUMENT</t>
        </is>
      </c>
      <c r="H1223" t="inlineStr">
        <is>
          <t>pdf</t>
        </is>
      </c>
      <c r="I1223" t="inlineStr">
        <is>
          <t>DOWNLOAD</t>
        </is>
      </c>
      <c r="J1223" t="n">
        <v>0.31196022</v>
      </c>
      <c r="K1223" t="inlineStr">
        <is>
          <t>Unread</t>
        </is>
      </c>
      <c r="L1223" s="153" t="n">
        <v>46176.92764111111</v>
      </c>
      <c r="M1223" t="inlineStr">
        <is>
          <t>69e0dd2c7ff004c21af4b76c</t>
        </is>
      </c>
    </row>
    <row r="1224">
      <c r="A1224" t="inlineStr">
        <is>
          <t>Project Notos</t>
        </is>
      </c>
      <c r="B1224" t="inlineStr">
        <is>
          <t>3.6.5.2</t>
        </is>
      </c>
      <c r="C1224" s="15" t="inlineStr">
        <is>
          <t>240216_Gesellschafterbeschluss_2023</t>
        </is>
      </c>
      <c r="D1224" s="20" t="inlineStr">
        <is>
          <t>Out-of-Scope</t>
        </is>
      </c>
      <c r="F1224" s="151">
        <f>HYPERLINK("https://app.global.datasite.com/webviewer/?projectId=696652ec0dc07cc02daa26a0&amp;documentId=69e0dd2c7ff004c21af4b76d","240216_Gesellschafterbeschluss_2023")</f>
        <v/>
      </c>
      <c r="G1224" t="inlineStr">
        <is>
          <t>DOCUMENT</t>
        </is>
      </c>
      <c r="H1224" t="inlineStr">
        <is>
          <t>pdf</t>
        </is>
      </c>
      <c r="I1224" t="inlineStr">
        <is>
          <t>DOWNLOAD</t>
        </is>
      </c>
      <c r="J1224" t="n">
        <v>0.02834606</v>
      </c>
      <c r="K1224" t="inlineStr">
        <is>
          <t>Unread</t>
        </is>
      </c>
      <c r="L1224" s="153" t="n">
        <v>46176.92764111111</v>
      </c>
      <c r="M1224" t="inlineStr">
        <is>
          <t>69e0dd2c7ff004c21af4b76d</t>
        </is>
      </c>
    </row>
    <row r="1225">
      <c r="A1225" t="inlineStr">
        <is>
          <t>Project Notos</t>
        </is>
      </c>
      <c r="B1225" t="inlineStr">
        <is>
          <t>3.6.5.3</t>
        </is>
      </c>
      <c r="C1225" s="15" t="inlineStr">
        <is>
          <t>250407_Gesellschafterbeschluss_2024</t>
        </is>
      </c>
      <c r="D1225" s="20" t="inlineStr">
        <is>
          <t>Out-of-Scope</t>
        </is>
      </c>
      <c r="F1225" s="151">
        <f>HYPERLINK("https://app.global.datasite.com/webviewer/?projectId=696652ec0dc07cc02daa26a0&amp;documentId=69e0dd2c7ff004c21af4b76e","250407_Gesellschafterbeschluss_2024")</f>
        <v/>
      </c>
      <c r="G1225" t="inlineStr">
        <is>
          <t>DOCUMENT</t>
        </is>
      </c>
      <c r="H1225" t="inlineStr">
        <is>
          <t>pdf</t>
        </is>
      </c>
      <c r="I1225" t="inlineStr">
        <is>
          <t>DOWNLOAD</t>
        </is>
      </c>
      <c r="J1225" t="n">
        <v>0.06565666000000001</v>
      </c>
      <c r="K1225" t="inlineStr">
        <is>
          <t>Unread</t>
        </is>
      </c>
      <c r="L1225" s="153" t="n">
        <v>46176.92764111111</v>
      </c>
      <c r="M1225" t="inlineStr">
        <is>
          <t>69e0dd2c7ff004c21af4b76e</t>
        </is>
      </c>
    </row>
    <row r="1226">
      <c r="A1226" s="149" t="inlineStr">
        <is>
          <t>Project Notos</t>
        </is>
      </c>
      <c r="B1226" s="149" t="inlineStr">
        <is>
          <t>3.6.6</t>
        </is>
      </c>
      <c r="C1226" s="17" t="inlineStr">
        <is>
          <t>CIT group</t>
        </is>
      </c>
      <c r="D1226" s="25" t="n"/>
      <c r="F1226" s="150">
        <f>HYPERLINK("https://app.global.datasite.com/platform/container/696652ec0dc07cc02daa26a0/documents/content/index/69dc9cf428eb6abc1180ce42","CIT group")</f>
        <v/>
      </c>
      <c r="G1226" s="149" t="inlineStr">
        <is>
          <t>FOLDER</t>
        </is>
      </c>
      <c r="H1226" s="149" t="n"/>
      <c r="I1226" s="149" t="inlineStr">
        <is>
          <t>DOWNLOAD</t>
        </is>
      </c>
      <c r="J1226" s="149" t="n"/>
      <c r="K1226" s="149" t="inlineStr">
        <is>
          <t>Unread</t>
        </is>
      </c>
      <c r="L1226" s="152" t="n">
        <v>46176.92764111111</v>
      </c>
      <c r="M1226" s="149" t="inlineStr">
        <is>
          <t>69dc9cf428eb6abc1180ce42</t>
        </is>
      </c>
    </row>
    <row r="1227">
      <c r="A1227" t="inlineStr">
        <is>
          <t>Project Notos</t>
        </is>
      </c>
      <c r="B1227" t="inlineStr">
        <is>
          <t>3.6.6.1</t>
        </is>
      </c>
      <c r="C1227" s="15" t="inlineStr">
        <is>
          <t>250205_Gruppenfeststellungsbescheid 2024_II</t>
        </is>
      </c>
      <c r="D1227" s="20" t="inlineStr">
        <is>
          <t>Out-of-Scope</t>
        </is>
      </c>
      <c r="F1227" s="151">
        <f>HYPERLINK("https://app.global.datasite.com/webviewer/?projectId=696652ec0dc07cc02daa26a0&amp;documentId=69e0fdffb80d78e1adb8eb44","250205_Gruppenfeststellungsbescheid 2024_II")</f>
        <v/>
      </c>
      <c r="G1227" t="inlineStr">
        <is>
          <t>DOCUMENT</t>
        </is>
      </c>
      <c r="H1227" t="inlineStr">
        <is>
          <t>pdf</t>
        </is>
      </c>
      <c r="I1227" t="inlineStr">
        <is>
          <t>DOWNLOAD</t>
        </is>
      </c>
      <c r="J1227" t="n">
        <v>0.29127311</v>
      </c>
      <c r="K1227" t="inlineStr">
        <is>
          <t>Unread</t>
        </is>
      </c>
      <c r="L1227" s="153" t="n">
        <v>46176.92764111111</v>
      </c>
      <c r="M1227" t="inlineStr">
        <is>
          <t>69e0fdffb80d78e1adb8eb44</t>
        </is>
      </c>
    </row>
    <row r="1228">
      <c r="A1228" t="inlineStr">
        <is>
          <t>Project Notos</t>
        </is>
      </c>
      <c r="B1228" t="inlineStr">
        <is>
          <t>3.6.6.2</t>
        </is>
      </c>
      <c r="C1228" s="15" t="inlineStr">
        <is>
          <t>Organschaft_Gruppenbesteuerung</t>
        </is>
      </c>
      <c r="D1228" s="20" t="inlineStr">
        <is>
          <t>Out-of-Scope</t>
        </is>
      </c>
      <c r="F1228" s="151">
        <f>HYPERLINK("https://app.global.datasite.com/webviewer/?projectId=696652ec0dc07cc02daa26a0&amp;documentId=69e1ffadd45b6ad49acf4003","Organschaft_Gruppenbesteuerung")</f>
        <v/>
      </c>
      <c r="G1228" t="inlineStr">
        <is>
          <t>DOCUMENT</t>
        </is>
      </c>
      <c r="H1228" t="inlineStr">
        <is>
          <t>pdf</t>
        </is>
      </c>
      <c r="I1228" t="inlineStr">
        <is>
          <t>DOWNLOAD</t>
        </is>
      </c>
      <c r="J1228" t="n">
        <v>0.01876544</v>
      </c>
      <c r="K1228" t="inlineStr">
        <is>
          <t>Unread</t>
        </is>
      </c>
      <c r="L1228" s="153" t="n">
        <v>46176.92764111111</v>
      </c>
      <c r="M1228" t="inlineStr">
        <is>
          <t>69e1ffadd45b6ad49acf4003</t>
        </is>
      </c>
    </row>
    <row r="1229">
      <c r="A1229" s="149" t="inlineStr">
        <is>
          <t>Project Notos</t>
        </is>
      </c>
      <c r="B1229" s="149" t="inlineStr">
        <is>
          <t>3.6.7</t>
        </is>
      </c>
      <c r="C1229" s="149" t="inlineStr">
        <is>
          <t>Steuerkonto</t>
        </is>
      </c>
      <c r="D1229" s="149" t="n"/>
      <c r="E1229" s="35" t="n"/>
      <c r="F1229" s="150" t="n">
        <v>0</v>
      </c>
      <c r="G1229" s="149" t="inlineStr">
        <is>
          <t>FOLDER</t>
        </is>
      </c>
      <c r="H1229" s="149" t="n"/>
      <c r="I1229" s="149" t="inlineStr">
        <is>
          <t>DOWNLOAD</t>
        </is>
      </c>
      <c r="J1229" s="149" t="n"/>
      <c r="K1229" s="149" t="inlineStr">
        <is>
          <t>Unread</t>
        </is>
      </c>
      <c r="L1229" s="152" t="n">
        <v>46191.68467212963</v>
      </c>
      <c r="M1229" s="149" t="inlineStr">
        <is>
          <t>6a33ff9f4faef2fce1f6c4cb</t>
        </is>
      </c>
    </row>
    <row r="1230">
      <c r="A1230" t="inlineStr">
        <is>
          <t>Project Notos</t>
        </is>
      </c>
      <c r="B1230" t="inlineStr">
        <is>
          <t>3.6.7.1</t>
        </is>
      </c>
      <c r="C1230" t="inlineStr">
        <is>
          <t>Innerio Immobilien GmbH_Finonline_2026 06 16</t>
        </is>
      </c>
      <c r="D1230" s="20" t="inlineStr">
        <is>
          <t>Out-of-Scope</t>
        </is>
      </c>
      <c r="E1230" s="35" t="n"/>
      <c r="F1230" s="151" t="n">
        <v>0</v>
      </c>
      <c r="G1230" t="inlineStr">
        <is>
          <t>DOCUMENT</t>
        </is>
      </c>
      <c r="H1230" t="inlineStr">
        <is>
          <t>pdf</t>
        </is>
      </c>
      <c r="I1230" t="inlineStr">
        <is>
          <t>DOWNLOAD</t>
        </is>
      </c>
      <c r="J1230" t="n">
        <v>0.11826801</v>
      </c>
      <c r="K1230" t="inlineStr">
        <is>
          <t>Unread</t>
        </is>
      </c>
      <c r="L1230" s="153" t="n">
        <v>46191.68467180555</v>
      </c>
      <c r="M1230" t="inlineStr">
        <is>
          <t>6a33b87d0da614c011c6fb94</t>
        </is>
      </c>
    </row>
    <row r="1231">
      <c r="A1231" s="154" t="inlineStr">
        <is>
          <t>Project Notos</t>
        </is>
      </c>
      <c r="B1231" s="154" t="inlineStr">
        <is>
          <t>3.6.8</t>
        </is>
      </c>
      <c r="C1231" s="155" t="inlineStr">
        <is>
          <t>Tax filings / Steuerakt</t>
        </is>
      </c>
      <c r="D1231" s="156" t="n"/>
      <c r="E1231" s="156" t="n"/>
      <c r="F1231" s="157">
        <f>HYPERLINK("https://app.global.datasite.com/platform/container/696652ec0dc07cc02daa26a0/documents/content/index/6a399b3afcbe25735ac7204c","Tax filings / Steuerakt")</f>
        <v/>
      </c>
      <c r="G1231" s="154" t="inlineStr">
        <is>
          <t>FOLDER</t>
        </is>
      </c>
      <c r="H1231" s="154" t="n"/>
      <c r="I1231" s="154" t="inlineStr">
        <is>
          <t>DOWNLOAD</t>
        </is>
      </c>
      <c r="J1231" s="154" t="n"/>
      <c r="K1231" s="154" t="inlineStr">
        <is>
          <t>Unread</t>
        </is>
      </c>
      <c r="L1231" s="158" t="n">
        <v>46196.40589835648</v>
      </c>
      <c r="M1231" s="154" t="inlineStr">
        <is>
          <t>6a399b3afcbe25735ac7204c</t>
        </is>
      </c>
    </row>
    <row r="1232">
      <c r="A1232" s="154" t="inlineStr">
        <is>
          <t>Project Notos</t>
        </is>
      </c>
      <c r="B1232" s="154" t="inlineStr">
        <is>
          <t>3.6.8.1</t>
        </is>
      </c>
      <c r="C1232" s="155" t="inlineStr">
        <is>
          <t>Innerio Immobilien GmbH_Steuerakt 2023</t>
        </is>
      </c>
      <c r="D1232" s="156" t="n"/>
      <c r="E1232" s="156" t="n"/>
      <c r="F1232" s="157">
        <f>HYPERLINK("https://app.global.datasite.com/webviewer/?projectId=696652ec0dc07cc02daa26a0&amp;documentId=6a3a36cdaea97b79c390ca5e","Innerio Immobilien GmbH_Steuerakt 2023")</f>
        <v/>
      </c>
      <c r="G1232" s="154" t="inlineStr">
        <is>
          <t>DOCUMENT</t>
        </is>
      </c>
      <c r="H1232" s="154" t="inlineStr">
        <is>
          <t>pdf</t>
        </is>
      </c>
      <c r="I1232" s="154" t="inlineStr">
        <is>
          <t>DOWNLOAD</t>
        </is>
      </c>
      <c r="J1232" s="154" t="n">
        <v>0.27645683</v>
      </c>
      <c r="K1232" s="154" t="inlineStr">
        <is>
          <t>Unread</t>
        </is>
      </c>
      <c r="L1232" s="158" t="n">
        <v>46196.40602565972</v>
      </c>
      <c r="M1232" s="154" t="inlineStr">
        <is>
          <t>6a3a36cdaea97b79c390ca5e</t>
        </is>
      </c>
    </row>
    <row r="1233">
      <c r="A1233" s="154" t="inlineStr">
        <is>
          <t>Project Notos</t>
        </is>
      </c>
      <c r="B1233" s="154" t="inlineStr">
        <is>
          <t>3.6.8.2</t>
        </is>
      </c>
      <c r="C1233" s="155" t="inlineStr">
        <is>
          <t>Innerio Immobilien GmbH_Steuerakt 2024</t>
        </is>
      </c>
      <c r="D1233" s="156" t="n"/>
      <c r="E1233" s="156" t="n"/>
      <c r="F1233" s="157">
        <f>HYPERLINK("https://app.global.datasite.com/webviewer/?projectId=696652ec0dc07cc02daa26a0&amp;documentId=6a3a36cdaea97b79c390ca5f","Innerio Immobilien GmbH_Steuerakt 2024")</f>
        <v/>
      </c>
      <c r="G1233" s="154" t="inlineStr">
        <is>
          <t>DOCUMENT</t>
        </is>
      </c>
      <c r="H1233" s="154" t="inlineStr">
        <is>
          <t>pdf</t>
        </is>
      </c>
      <c r="I1233" s="154" t="inlineStr">
        <is>
          <t>DOWNLOAD</t>
        </is>
      </c>
      <c r="J1233" s="154" t="n">
        <v>0.13391971</v>
      </c>
      <c r="K1233" s="154" t="inlineStr">
        <is>
          <t>Unread</t>
        </is>
      </c>
      <c r="L1233" s="158" t="n">
        <v>46196.40589796296</v>
      </c>
      <c r="M1233" s="154" t="inlineStr">
        <is>
          <t>6a3a36cdaea97b79c390ca5f</t>
        </is>
      </c>
    </row>
    <row r="1234">
      <c r="A1234" s="154" t="inlineStr">
        <is>
          <t>Project Notos</t>
        </is>
      </c>
      <c r="B1234" s="154" t="inlineStr">
        <is>
          <t>3.6.8.3</t>
        </is>
      </c>
      <c r="C1234" s="155" t="inlineStr">
        <is>
          <t>Innerio Immobilien GmbH_Steuerakt 2025</t>
        </is>
      </c>
      <c r="D1234" s="156" t="n"/>
      <c r="E1234" s="156" t="n"/>
      <c r="F1234" s="157">
        <f>HYPERLINK("https://app.global.datasite.com/webviewer/?projectId=696652ec0dc07cc02daa26a0&amp;documentId=6a3a36cdaea97b79c390ca5d","Innerio Immobilien GmbH_Steuerakt 2025")</f>
        <v/>
      </c>
      <c r="G1234" s="154" t="inlineStr">
        <is>
          <t>DOCUMENT</t>
        </is>
      </c>
      <c r="H1234" s="154" t="inlineStr">
        <is>
          <t>pdf</t>
        </is>
      </c>
      <c r="I1234" s="154" t="inlineStr">
        <is>
          <t>DOWNLOAD</t>
        </is>
      </c>
      <c r="J1234" s="154" t="n">
        <v>0.15732479</v>
      </c>
      <c r="K1234" s="154" t="inlineStr">
        <is>
          <t>Unread</t>
        </is>
      </c>
      <c r="L1234" s="158" t="n">
        <v>46196.40589796296</v>
      </c>
      <c r="M1234" s="154" t="inlineStr">
        <is>
          <t>6a3a36cdaea97b79c390ca5d</t>
        </is>
      </c>
    </row>
    <row r="1235">
      <c r="A1235" s="154" t="inlineStr">
        <is>
          <t>Project Notos</t>
        </is>
      </c>
      <c r="B1235" s="154" t="inlineStr">
        <is>
          <t>3.6.8.4</t>
        </is>
      </c>
      <c r="C1235" s="155" t="inlineStr">
        <is>
          <t>Innerio Immobilien GmbH_Steuerakt 2026</t>
        </is>
      </c>
      <c r="D1235" s="156" t="n"/>
      <c r="E1235" s="156" t="n"/>
      <c r="F1235" s="157">
        <f>HYPERLINK("https://app.global.datasite.com/webviewer/?projectId=696652ec0dc07cc02daa26a0&amp;documentId=6a3a36cdaea97b79c390ca60","Innerio Immobilien GmbH_Steuerakt 2026")</f>
        <v/>
      </c>
      <c r="G1235" s="154" t="inlineStr">
        <is>
          <t>DOCUMENT</t>
        </is>
      </c>
      <c r="H1235" s="154" t="inlineStr">
        <is>
          <t>pdf</t>
        </is>
      </c>
      <c r="I1235" s="154" t="inlineStr">
        <is>
          <t>DOWNLOAD</t>
        </is>
      </c>
      <c r="J1235" s="154" t="n">
        <v>0.06460762</v>
      </c>
      <c r="K1235" s="154" t="inlineStr">
        <is>
          <t>Unread</t>
        </is>
      </c>
      <c r="L1235" s="158" t="n">
        <v>46196.40589796296</v>
      </c>
      <c r="M1235" s="154" t="inlineStr">
        <is>
          <t>6a3a36cdaea97b79c390ca60</t>
        </is>
      </c>
    </row>
    <row r="1236">
      <c r="A1236" s="149" t="inlineStr">
        <is>
          <t>Project Notos</t>
        </is>
      </c>
      <c r="B1236" s="149" t="inlineStr">
        <is>
          <t>3.7</t>
        </is>
      </c>
      <c r="C1236" s="17" t="inlineStr">
        <is>
          <t>Innerio (Changsha) Thermal Technology Co. Ltd. (ITTC)</t>
        </is>
      </c>
      <c r="D1236" s="25" t="n"/>
      <c r="F1236" s="150">
        <f>HYPERLINK("https://app.global.datasite.com/platform/container/696652ec0dc07cc02daa26a0/documents/content/index/69ca23119d9e98a960eefe9c","Innerio (Changsha) Thermal Technology Co. Ltd. (ITTC)")</f>
        <v/>
      </c>
      <c r="G1236" s="149" t="inlineStr">
        <is>
          <t>FOLDER</t>
        </is>
      </c>
      <c r="H1236" s="149" t="n"/>
      <c r="I1236" s="149" t="inlineStr">
        <is>
          <t>DOWNLOAD</t>
        </is>
      </c>
      <c r="J1236" s="149" t="n"/>
      <c r="K1236" s="149" t="inlineStr">
        <is>
          <t>Unread</t>
        </is>
      </c>
      <c r="L1236" s="152" t="n">
        <v>46176.92764111111</v>
      </c>
      <c r="M1236" s="149" t="inlineStr">
        <is>
          <t>69ca23119d9e98a960eefe9c</t>
        </is>
      </c>
    </row>
    <row r="1237">
      <c r="A1237" s="149" t="inlineStr">
        <is>
          <t>Project Notos</t>
        </is>
      </c>
      <c r="B1237" s="149" t="inlineStr">
        <is>
          <t>3.7.1</t>
        </is>
      </c>
      <c r="C1237" s="17" t="inlineStr">
        <is>
          <t>Tax Return 2022-2025</t>
        </is>
      </c>
      <c r="D1237" s="25" t="n"/>
      <c r="F1237" s="150">
        <f>HYPERLINK("https://app.global.datasite.com/platform/container/696652ec0dc07cc02daa26a0/documents/content/index/69ca26598fcb7339a240f59b","Tax Return 2022-2025")</f>
        <v/>
      </c>
      <c r="G1237" s="149" t="inlineStr">
        <is>
          <t>FOLDER</t>
        </is>
      </c>
      <c r="H1237" s="149" t="n"/>
      <c r="I1237" s="149" t="inlineStr">
        <is>
          <t>DOWNLOAD</t>
        </is>
      </c>
      <c r="J1237" s="149" t="n"/>
      <c r="K1237" s="149" t="inlineStr">
        <is>
          <t>Unread</t>
        </is>
      </c>
      <c r="L1237" s="152" t="n">
        <v>46176.92764111111</v>
      </c>
      <c r="M1237" s="149" t="inlineStr">
        <is>
          <t>69ca26598fcb7339a240f59b</t>
        </is>
      </c>
    </row>
    <row r="1238">
      <c r="A1238" s="149" t="inlineStr">
        <is>
          <t>Project Notos</t>
        </is>
      </c>
      <c r="B1238" s="149" t="inlineStr">
        <is>
          <t>3.7.1.1</t>
        </is>
      </c>
      <c r="C1238" s="17" t="inlineStr">
        <is>
          <t>2023</t>
        </is>
      </c>
      <c r="D1238" s="25" t="n"/>
      <c r="F1238" s="150">
        <f>HYPERLINK("https://app.global.datasite.com/platform/container/696652ec0dc07cc02daa26a0/documents/content/index/69ca26598fcb7339a240f5b1","2023")</f>
        <v/>
      </c>
      <c r="G1238" s="149" t="inlineStr">
        <is>
          <t>FOLDER</t>
        </is>
      </c>
      <c r="H1238" s="149" t="n"/>
      <c r="I1238" s="149" t="inlineStr">
        <is>
          <t>DOWNLOAD</t>
        </is>
      </c>
      <c r="J1238" s="149" t="n"/>
      <c r="K1238" s="149" t="inlineStr">
        <is>
          <t>Unread</t>
        </is>
      </c>
      <c r="L1238" s="152" t="n">
        <v>46176.92764111111</v>
      </c>
      <c r="M1238" s="149" t="inlineStr">
        <is>
          <t>69ca26598fcb7339a240f5b1</t>
        </is>
      </c>
    </row>
    <row r="1239">
      <c r="A1239" t="inlineStr">
        <is>
          <t>Project Notos</t>
        </is>
      </c>
      <c r="B1239" t="inlineStr">
        <is>
          <t>3.7.1.1.1</t>
        </is>
      </c>
      <c r="C1239" s="15" t="inlineStr">
        <is>
          <t>PRC Annual Enterprise Income Tax Return (Form A)  (2023-01-01-2023-12-31)</t>
        </is>
      </c>
      <c r="D1239" s="20" t="inlineStr">
        <is>
          <t>Out-of-Scope</t>
        </is>
      </c>
      <c r="F1239" s="151">
        <f>HYPERLINK("https://app.global.datasite.com/webviewer/?projectId=696652ec0dc07cc02daa26a0&amp;documentId=69ca26598fcb7339a240f5ce","PRC Annual Enterprise Income Tax Return (Form A)  (2023-01-01-2023-12-31)")</f>
        <v/>
      </c>
      <c r="G1239" t="inlineStr">
        <is>
          <t>DOCUMENT</t>
        </is>
      </c>
      <c r="H1239" t="inlineStr">
        <is>
          <t>pdf</t>
        </is>
      </c>
      <c r="I1239" t="inlineStr">
        <is>
          <t>DOWNLOAD</t>
        </is>
      </c>
      <c r="J1239" t="n">
        <v>0.53909587</v>
      </c>
      <c r="K1239" t="inlineStr">
        <is>
          <t>Unread</t>
        </is>
      </c>
      <c r="L1239" s="153" t="n">
        <v>46176.92764111111</v>
      </c>
      <c r="M1239" t="inlineStr">
        <is>
          <t>69ca26598fcb7339a240f5ce</t>
        </is>
      </c>
    </row>
    <row r="1240">
      <c r="A1240" s="149" t="inlineStr">
        <is>
          <t>Project Notos</t>
        </is>
      </c>
      <c r="B1240" s="149" t="inlineStr">
        <is>
          <t>3.7.1.2</t>
        </is>
      </c>
      <c r="C1240" s="17" t="inlineStr">
        <is>
          <t>2024</t>
        </is>
      </c>
      <c r="D1240" s="25" t="n"/>
      <c r="F1240" s="150">
        <f>HYPERLINK("https://app.global.datasite.com/platform/container/696652ec0dc07cc02daa26a0/documents/content/index/69ca26598fcb7339a240f5db","2024")</f>
        <v/>
      </c>
      <c r="G1240" s="149" t="inlineStr">
        <is>
          <t>FOLDER</t>
        </is>
      </c>
      <c r="H1240" s="149" t="n"/>
      <c r="I1240" s="149" t="inlineStr">
        <is>
          <t>DOWNLOAD</t>
        </is>
      </c>
      <c r="J1240" s="149" t="n"/>
      <c r="K1240" s="149" t="inlineStr">
        <is>
          <t>Unread</t>
        </is>
      </c>
      <c r="L1240" s="152" t="n">
        <v>46176.92764111111</v>
      </c>
      <c r="M1240" s="149" t="inlineStr">
        <is>
          <t>69ca26598fcb7339a240f5db</t>
        </is>
      </c>
    </row>
    <row r="1241">
      <c r="A1241" t="inlineStr">
        <is>
          <t>Project Notos</t>
        </is>
      </c>
      <c r="B1241" t="inlineStr">
        <is>
          <t>3.7.1.2.1</t>
        </is>
      </c>
      <c r="C1241" s="15" t="inlineStr">
        <is>
          <t>Declaration Form for Property and Behavior Tax (1)</t>
        </is>
      </c>
      <c r="D1241" s="20" t="inlineStr">
        <is>
          <t>Out-of-Scope</t>
        </is>
      </c>
      <c r="F1241" s="151">
        <f>HYPERLINK("https://app.global.datasite.com/webviewer/?projectId=696652ec0dc07cc02daa26a0&amp;documentId=69ca26598fcb7339a240f5dc","Declaration Form for Property and Behavior Tax (1)")</f>
        <v/>
      </c>
      <c r="G1241" t="inlineStr">
        <is>
          <t>DOCUMENT</t>
        </is>
      </c>
      <c r="H1241" t="inlineStr">
        <is>
          <t>pdf</t>
        </is>
      </c>
      <c r="I1241" t="inlineStr">
        <is>
          <t>DOWNLOAD</t>
        </is>
      </c>
      <c r="J1241" t="n">
        <v>0.05509853</v>
      </c>
      <c r="K1241" t="inlineStr">
        <is>
          <t>Unread</t>
        </is>
      </c>
      <c r="L1241" s="153" t="n">
        <v>46176.92764111111</v>
      </c>
      <c r="M1241" t="inlineStr">
        <is>
          <t>69ca26598fcb7339a240f5dc</t>
        </is>
      </c>
    </row>
    <row r="1242">
      <c r="A1242" t="inlineStr">
        <is>
          <t>Project Notos</t>
        </is>
      </c>
      <c r="B1242" t="inlineStr">
        <is>
          <t>3.7.1.2.2</t>
        </is>
      </c>
      <c r="C1242" s="15" t="inlineStr">
        <is>
          <t>Declaration Form for the Employment Security Fund for the Disabled (2024-01-01-2024-12-31)</t>
        </is>
      </c>
      <c r="D1242" s="20" t="inlineStr">
        <is>
          <t>Out-of-Scope</t>
        </is>
      </c>
      <c r="F1242" s="151">
        <f>HYPERLINK("https://app.global.datasite.com/webviewer/?projectId=696652ec0dc07cc02daa26a0&amp;documentId=69ca26598fcb7339a240f5dd","Declaration Form for the Employment Security Fund for the Disabled (2024-01-01-2024-12-31)")</f>
        <v/>
      </c>
      <c r="G1242" t="inlineStr">
        <is>
          <t>DOCUMENT</t>
        </is>
      </c>
      <c r="H1242" t="inlineStr">
        <is>
          <t>pdf</t>
        </is>
      </c>
      <c r="I1242" t="inlineStr">
        <is>
          <t>DOWNLOAD</t>
        </is>
      </c>
      <c r="J1242" t="n">
        <v>0.05614471</v>
      </c>
      <c r="K1242" t="inlineStr">
        <is>
          <t>Unread</t>
        </is>
      </c>
      <c r="L1242" s="153" t="n">
        <v>46176.92764111111</v>
      </c>
      <c r="M1242" t="inlineStr">
        <is>
          <t>69ca26598fcb7339a240f5dd</t>
        </is>
      </c>
    </row>
    <row r="1243">
      <c r="A1243" t="inlineStr">
        <is>
          <t>Project Notos</t>
        </is>
      </c>
      <c r="B1243" t="inlineStr">
        <is>
          <t>3.7.1.2.3</t>
        </is>
      </c>
      <c r="C1243" s="15" t="inlineStr">
        <is>
          <t>PRC Annual Enterprise Income Tax Return (Form A)  (2024-01-01-2024-12-31)</t>
        </is>
      </c>
      <c r="D1243" s="20" t="inlineStr">
        <is>
          <t>Out-of-Scope</t>
        </is>
      </c>
      <c r="F1243" s="151">
        <f>HYPERLINK("https://app.global.datasite.com/webviewer/?projectId=696652ec0dc07cc02daa26a0&amp;documentId=69ca26598fcb7339a240f5ef","PRC Annual Enterprise Income Tax Return (Form A)  (2024-01-01-2024-12-31)")</f>
        <v/>
      </c>
      <c r="G1243" t="inlineStr">
        <is>
          <t>DOCUMENT</t>
        </is>
      </c>
      <c r="H1243" t="inlineStr">
        <is>
          <t>pdf</t>
        </is>
      </c>
      <c r="I1243" t="inlineStr">
        <is>
          <t>DOWNLOAD</t>
        </is>
      </c>
      <c r="J1243" t="n">
        <v>0.38652706</v>
      </c>
      <c r="K1243" t="inlineStr">
        <is>
          <t>Unread</t>
        </is>
      </c>
      <c r="L1243" s="153" t="n">
        <v>46176.92764111111</v>
      </c>
      <c r="M1243" t="inlineStr">
        <is>
          <t>69ca26598fcb7339a240f5ef</t>
        </is>
      </c>
    </row>
    <row r="1244">
      <c r="A1244" t="inlineStr">
        <is>
          <t>Project Notos</t>
        </is>
      </c>
      <c r="B1244" t="inlineStr">
        <is>
          <t>3.7.1.2.4</t>
        </is>
      </c>
      <c r="C1244" s="15" t="inlineStr">
        <is>
          <t>Stamp Duty Filing Return (2024-07-15-2024-07-15)</t>
        </is>
      </c>
      <c r="D1244" s="20" t="inlineStr">
        <is>
          <t>Out-of-Scope</t>
        </is>
      </c>
      <c r="F1244" s="151">
        <f>HYPERLINK("https://app.global.datasite.com/webviewer/?projectId=696652ec0dc07cc02daa26a0&amp;documentId=69ca26598fcb7339a240f5f0","Stamp Duty Filing Return (2024-07-15-2024-07-15)")</f>
        <v/>
      </c>
      <c r="G1244" t="inlineStr">
        <is>
          <t>DOCUMENT</t>
        </is>
      </c>
      <c r="H1244" t="inlineStr">
        <is>
          <t>pdf</t>
        </is>
      </c>
      <c r="I1244" t="inlineStr">
        <is>
          <t>DOWNLOAD</t>
        </is>
      </c>
      <c r="J1244" t="n">
        <v>0.17896175</v>
      </c>
      <c r="K1244" t="inlineStr">
        <is>
          <t>Unread</t>
        </is>
      </c>
      <c r="L1244" s="153" t="n">
        <v>46176.92764111111</v>
      </c>
      <c r="M1244" t="inlineStr">
        <is>
          <t>69ca26598fcb7339a240f5f0</t>
        </is>
      </c>
    </row>
    <row r="1245">
      <c r="A1245" s="149" t="inlineStr">
        <is>
          <t>Project Notos</t>
        </is>
      </c>
      <c r="B1245" s="149" t="inlineStr">
        <is>
          <t>3.8</t>
        </is>
      </c>
      <c r="C1245" s="17" t="inlineStr">
        <is>
          <t>Innerio America</t>
        </is>
      </c>
      <c r="D1245" s="25" t="n"/>
      <c r="F1245" s="150">
        <f>HYPERLINK("https://app.global.datasite.com/platform/container/696652ec0dc07cc02daa26a0/documents/content/index/69e213853f86e41d70d8cec4","Innerio America")</f>
        <v/>
      </c>
      <c r="G1245" s="149" t="inlineStr">
        <is>
          <t>FOLDER</t>
        </is>
      </c>
      <c r="H1245" s="149" t="n"/>
      <c r="I1245" s="149" t="inlineStr">
        <is>
          <t>DOWNLOAD</t>
        </is>
      </c>
      <c r="J1245" s="149" t="n"/>
      <c r="K1245" s="149" t="inlineStr">
        <is>
          <t>Unread</t>
        </is>
      </c>
      <c r="L1245" s="152" t="n">
        <v>46176.92764111111</v>
      </c>
      <c r="M1245" s="149" t="inlineStr">
        <is>
          <t>69e213853f86e41d70d8cec4</t>
        </is>
      </c>
    </row>
    <row r="1246">
      <c r="A1246" s="149" t="inlineStr">
        <is>
          <t>Project Notos</t>
        </is>
      </c>
      <c r="B1246" s="149" t="inlineStr">
        <is>
          <t>3.8.1</t>
        </is>
      </c>
      <c r="C1246" s="17" t="inlineStr">
        <is>
          <t>Tax returns</t>
        </is>
      </c>
      <c r="D1246" s="25" t="n"/>
      <c r="F1246" s="150">
        <f>HYPERLINK("https://app.global.datasite.com/platform/container/696652ec0dc07cc02daa26a0/documents/content/index/69e213ba3aa1e1a7920324c5","Tax returns")</f>
        <v/>
      </c>
      <c r="G1246" s="149" t="inlineStr">
        <is>
          <t>FOLDER</t>
        </is>
      </c>
      <c r="H1246" s="149" t="n"/>
      <c r="I1246" s="149" t="inlineStr">
        <is>
          <t>DOWNLOAD</t>
        </is>
      </c>
      <c r="J1246" s="149" t="n"/>
      <c r="K1246" s="149" t="inlineStr">
        <is>
          <t>Unread</t>
        </is>
      </c>
      <c r="L1246" s="152" t="n">
        <v>46176.92764111111</v>
      </c>
      <c r="M1246" s="149" t="inlineStr">
        <is>
          <t>69e213ba3aa1e1a7920324c5</t>
        </is>
      </c>
    </row>
    <row r="1247">
      <c r="A1247" t="inlineStr">
        <is>
          <t>Project Notos</t>
        </is>
      </c>
      <c r="B1247" t="inlineStr">
        <is>
          <t>3.8.1.1</t>
        </is>
      </c>
      <c r="C1247" s="15" t="inlineStr">
        <is>
          <t>Innerio America Thermal Technology - 2023 Tax Return (FINAL)</t>
        </is>
      </c>
      <c r="D1247" s="20" t="inlineStr">
        <is>
          <t>Out-of-Scope</t>
        </is>
      </c>
      <c r="F1247" s="151">
        <f>HYPERLINK("https://app.global.datasite.com/webviewer/?projectId=696652ec0dc07cc02daa26a0&amp;documentId=69e213dd253932bb73ca0125","Innerio America Thermal Technology - 2023 Tax Return (FINAL)")</f>
        <v/>
      </c>
      <c r="G1247" t="inlineStr">
        <is>
          <t>DOCUMENT</t>
        </is>
      </c>
      <c r="H1247" t="inlineStr">
        <is>
          <t>pdf</t>
        </is>
      </c>
      <c r="I1247" t="inlineStr">
        <is>
          <t>DOWNLOAD</t>
        </is>
      </c>
      <c r="J1247" t="n">
        <v>1.26685237</v>
      </c>
      <c r="K1247" t="inlineStr">
        <is>
          <t>Unread</t>
        </is>
      </c>
      <c r="L1247" s="153" t="n">
        <v>46176.92764111111</v>
      </c>
      <c r="M1247" t="inlineStr">
        <is>
          <t>69e213dd253932bb73ca0125</t>
        </is>
      </c>
    </row>
    <row r="1248">
      <c r="A1248" t="inlineStr">
        <is>
          <t>Project Notos</t>
        </is>
      </c>
      <c r="B1248" t="inlineStr">
        <is>
          <t>3.8.1.2</t>
        </is>
      </c>
      <c r="C1248" s="15" t="inlineStr">
        <is>
          <t>Innerio America Thermal Technology - 2024 Tax Return (FINAL)</t>
        </is>
      </c>
      <c r="D1248" s="20" t="inlineStr">
        <is>
          <t>Out-of-Scope</t>
        </is>
      </c>
      <c r="F1248" s="151">
        <f>HYPERLINK("https://app.global.datasite.com/webviewer/?projectId=696652ec0dc07cc02daa26a0&amp;documentId=69e213dd253932bb73ca0126","Innerio America Thermal Technology - 2024 Tax Return (FINAL)")</f>
        <v/>
      </c>
      <c r="G1248" t="inlineStr">
        <is>
          <t>DOCUMENT</t>
        </is>
      </c>
      <c r="H1248" t="inlineStr">
        <is>
          <t>pdf</t>
        </is>
      </c>
      <c r="I1248" t="inlineStr">
        <is>
          <t>DOWNLOAD</t>
        </is>
      </c>
      <c r="J1248" t="n">
        <v>1.12894344</v>
      </c>
      <c r="K1248" t="inlineStr">
        <is>
          <t>Unread</t>
        </is>
      </c>
      <c r="L1248" s="153" t="n">
        <v>46176.92764111111</v>
      </c>
      <c r="M1248" t="inlineStr">
        <is>
          <t>69e213dd253932bb73ca0126</t>
        </is>
      </c>
    </row>
    <row r="1249">
      <c r="A1249" s="149" t="inlineStr">
        <is>
          <t>Project Notos</t>
        </is>
      </c>
      <c r="B1249" s="149" t="inlineStr">
        <is>
          <t>3.8.2</t>
        </is>
      </c>
      <c r="C1249" s="17" t="inlineStr">
        <is>
          <t>Other</t>
        </is>
      </c>
      <c r="D1249" s="25" t="n"/>
      <c r="F1249" s="150">
        <f>HYPERLINK("https://app.global.datasite.com/platform/container/696652ec0dc07cc02daa26a0/documents/content/index/69e213c6559e22e1ba83ed29","Other")</f>
        <v/>
      </c>
      <c r="G1249" s="149" t="inlineStr">
        <is>
          <t>FOLDER</t>
        </is>
      </c>
      <c r="H1249" s="149" t="n"/>
      <c r="I1249" s="149" t="inlineStr">
        <is>
          <t>DOWNLOAD</t>
        </is>
      </c>
      <c r="J1249" s="149" t="n"/>
      <c r="K1249" s="149" t="inlineStr">
        <is>
          <t>Unread</t>
        </is>
      </c>
      <c r="L1249" s="152" t="n">
        <v>46176.92764111111</v>
      </c>
      <c r="M1249" s="149" t="inlineStr">
        <is>
          <t>69e213c6559e22e1ba83ed29</t>
        </is>
      </c>
    </row>
    <row r="1250">
      <c r="A1250" t="inlineStr">
        <is>
          <t>Project Notos</t>
        </is>
      </c>
      <c r="B1250" t="inlineStr">
        <is>
          <t>3.8.2.1</t>
        </is>
      </c>
      <c r="C1250" s="15" t="inlineStr">
        <is>
          <t>2025 Extension Calculation</t>
        </is>
      </c>
      <c r="D1250" s="20" t="inlineStr">
        <is>
          <t>Out-of-Scope</t>
        </is>
      </c>
      <c r="F1250" s="151">
        <f>HYPERLINK("https://app.global.datasite.com/webviewer/?projectId=696652ec0dc07cc02daa26a0&amp;documentId=69e213ac2bf69c939bdd8e31","2025 Extension Calculation")</f>
        <v/>
      </c>
      <c r="G1250" t="inlineStr">
        <is>
          <t>DOCUMENT</t>
        </is>
      </c>
      <c r="H1250" t="inlineStr">
        <is>
          <t>xlsx</t>
        </is>
      </c>
      <c r="I1250" t="inlineStr">
        <is>
          <t>DOWNLOAD</t>
        </is>
      </c>
      <c r="J1250" t="n">
        <v>0.01438713</v>
      </c>
      <c r="K1250" t="inlineStr">
        <is>
          <t>Unread</t>
        </is>
      </c>
      <c r="L1250" s="153" t="n">
        <v>46176.92764111111</v>
      </c>
      <c r="M1250" t="inlineStr">
        <is>
          <t>69e213ac2bf69c939bdd8e31</t>
        </is>
      </c>
    </row>
    <row r="1251">
      <c r="A1251" t="inlineStr">
        <is>
          <t>Project Notos</t>
        </is>
      </c>
      <c r="B1251" t="inlineStr">
        <is>
          <t>3.8.2.2</t>
        </is>
      </c>
      <c r="C1251" s="15" t="inlineStr">
        <is>
          <t>Summary NOL Carryover to 2025</t>
        </is>
      </c>
      <c r="D1251" s="20" t="inlineStr">
        <is>
          <t>Out-of-Scope</t>
        </is>
      </c>
      <c r="F1251" s="151">
        <f>HYPERLINK("https://app.global.datasite.com/webviewer/?projectId=696652ec0dc07cc02daa26a0&amp;documentId=69e213ac2bf69c939bdd8e32","Summary NOL Carryover to 2025")</f>
        <v/>
      </c>
      <c r="G1251" t="inlineStr">
        <is>
          <t>DOCUMENT</t>
        </is>
      </c>
      <c r="H1251" t="inlineStr">
        <is>
          <t>pdf</t>
        </is>
      </c>
      <c r="I1251" t="inlineStr">
        <is>
          <t>DOWNLOAD</t>
        </is>
      </c>
      <c r="J1251" t="n">
        <v>0.0517311</v>
      </c>
      <c r="K1251" t="inlineStr">
        <is>
          <t>Unread</t>
        </is>
      </c>
      <c r="L1251" s="153" t="n">
        <v>46176.92764111111</v>
      </c>
      <c r="M1251" t="inlineStr">
        <is>
          <t>69e213ac2bf69c939bdd8e32</t>
        </is>
      </c>
    </row>
    <row r="1252">
      <c r="A1252" t="inlineStr">
        <is>
          <t>Project Notos</t>
        </is>
      </c>
      <c r="B1252" t="inlineStr">
        <is>
          <t>3.8.2.3</t>
        </is>
      </c>
      <c r="C1252" s="15" t="inlineStr">
        <is>
          <t>Innerio America Thermal Technology Inc. - 2025 Annual Report (DE) (72578225.1)</t>
        </is>
      </c>
      <c r="D1252" s="20" t="inlineStr">
        <is>
          <t>Out-of-Scope</t>
        </is>
      </c>
      <c r="F1252" s="151">
        <f>HYPERLINK("https://app.global.datasite.com/webviewer/?projectId=696652ec0dc07cc02daa26a0&amp;documentId=69e213ac2bf69c939bdd8e33","Innerio America Thermal Technology Inc. - 2025 Annual Report (DE) (72578225.1)")</f>
        <v/>
      </c>
      <c r="G1252" t="inlineStr">
        <is>
          <t>DOCUMENT</t>
        </is>
      </c>
      <c r="H1252" t="inlineStr">
        <is>
          <t>pdf</t>
        </is>
      </c>
      <c r="I1252" t="inlineStr">
        <is>
          <t>DOWNLOAD</t>
        </is>
      </c>
      <c r="J1252" t="n">
        <v>0.30137634</v>
      </c>
      <c r="K1252" t="inlineStr">
        <is>
          <t>Unread</t>
        </is>
      </c>
      <c r="L1252" s="153" t="n">
        <v>46176.92764111111</v>
      </c>
      <c r="M1252" t="inlineStr">
        <is>
          <t>69e213ac2bf69c939bdd8e33</t>
        </is>
      </c>
    </row>
    <row r="1253">
      <c r="A1253" t="inlineStr">
        <is>
          <t>Project Notos</t>
        </is>
      </c>
      <c r="B1253" t="inlineStr">
        <is>
          <t>3.8.2.4</t>
        </is>
      </c>
      <c r="C1253" s="15" t="inlineStr">
        <is>
          <t>Innerio America Thermal Technology Inc. - 2025 Annual Report (GA) (72578224.1)</t>
        </is>
      </c>
      <c r="D1253" s="20" t="inlineStr">
        <is>
          <t>Out-of-Scope</t>
        </is>
      </c>
      <c r="F1253" s="151">
        <f>HYPERLINK("https://app.global.datasite.com/webviewer/?projectId=696652ec0dc07cc02daa26a0&amp;documentId=69e213ac2bf69c939bdd8e34","Innerio America Thermal Technology Inc. - 2025 Annual Report (GA) (72578224.1)")</f>
        <v/>
      </c>
      <c r="G1253" t="inlineStr">
        <is>
          <t>DOCUMENT</t>
        </is>
      </c>
      <c r="H1253" t="inlineStr">
        <is>
          <t>pdf</t>
        </is>
      </c>
      <c r="I1253" t="inlineStr">
        <is>
          <t>DOWNLOAD</t>
        </is>
      </c>
      <c r="J1253" t="n">
        <v>0.03046321</v>
      </c>
      <c r="K1253" t="inlineStr">
        <is>
          <t>Unread</t>
        </is>
      </c>
      <c r="L1253" s="153" t="n">
        <v>46176.92764111111</v>
      </c>
      <c r="M1253" t="inlineStr">
        <is>
          <t>69e213ac2bf69c939bdd8e34</t>
        </is>
      </c>
    </row>
    <row r="1254">
      <c r="A1254" t="inlineStr">
        <is>
          <t>Project Notos</t>
        </is>
      </c>
      <c r="B1254" t="inlineStr">
        <is>
          <t>3.8.2.5</t>
        </is>
      </c>
      <c r="C1254" s="15" t="inlineStr">
        <is>
          <t>Innerio America Thermal Technology Inc. - 2025 Annual Report</t>
        </is>
      </c>
      <c r="D1254" s="20" t="inlineStr">
        <is>
          <t>Out-of-Scope</t>
        </is>
      </c>
      <c r="F1254" s="151">
        <f>HYPERLINK("https://app.global.datasite.com/webviewer/?projectId=696652ec0dc07cc02daa26a0&amp;documentId=69e213ac2bf69c939bdd8e35","Innerio America Thermal Technology Inc. - 2025 Annual Report")</f>
        <v/>
      </c>
      <c r="G1254" t="inlineStr">
        <is>
          <t>DOCUMENT</t>
        </is>
      </c>
      <c r="H1254" t="inlineStr">
        <is>
          <t>pdf</t>
        </is>
      </c>
      <c r="I1254" t="inlineStr">
        <is>
          <t>DOWNLOAD</t>
        </is>
      </c>
      <c r="J1254" t="n">
        <v>0.10358905</v>
      </c>
      <c r="K1254" t="inlineStr">
        <is>
          <t>Unread</t>
        </is>
      </c>
      <c r="L1254" s="153" t="n">
        <v>46176.92764111111</v>
      </c>
      <c r="M1254" t="inlineStr">
        <is>
          <t>69e213ac2bf69c939bdd8e35</t>
        </is>
      </c>
    </row>
    <row r="1255">
      <c r="A1255" t="inlineStr">
        <is>
          <t>Project Notos</t>
        </is>
      </c>
      <c r="B1255" t="inlineStr">
        <is>
          <t>3.8.2.6</t>
        </is>
      </c>
      <c r="C1255" s="15" t="inlineStr">
        <is>
          <t>Innerio America Thermal Technology Inc. - 2026 Annual Report (DE) (81755183.1)</t>
        </is>
      </c>
      <c r="D1255" s="20" t="inlineStr">
        <is>
          <t>Out-of-Scope</t>
        </is>
      </c>
      <c r="F1255" s="151">
        <f>HYPERLINK("https://app.global.datasite.com/webviewer/?projectId=696652ec0dc07cc02daa26a0&amp;documentId=69e213ac2bf69c939bdd8e36","Innerio America Thermal Technology Inc. - 2026 Annual Report (DE) (81755183.1)")</f>
        <v/>
      </c>
      <c r="G1255" t="inlineStr">
        <is>
          <t>DOCUMENT</t>
        </is>
      </c>
      <c r="H1255" t="inlineStr">
        <is>
          <t>pdf</t>
        </is>
      </c>
      <c r="I1255" t="inlineStr">
        <is>
          <t>DOWNLOAD</t>
        </is>
      </c>
      <c r="J1255" t="n">
        <v>0.36539936</v>
      </c>
      <c r="K1255" t="inlineStr">
        <is>
          <t>Unread</t>
        </is>
      </c>
      <c r="L1255" s="153" t="n">
        <v>46176.92764111111</v>
      </c>
      <c r="M1255" t="inlineStr">
        <is>
          <t>69e213ac2bf69c939bdd8e36</t>
        </is>
      </c>
    </row>
    <row r="1256">
      <c r="A1256" t="inlineStr">
        <is>
          <t>Project Notos</t>
        </is>
      </c>
      <c r="B1256" t="inlineStr">
        <is>
          <t>3.8.2.7</t>
        </is>
      </c>
      <c r="C1256" s="15" t="inlineStr">
        <is>
          <t>Innerio America Thermal Technology Inc. - 2026 Annual Report (GA) (81755182.1)</t>
        </is>
      </c>
      <c r="D1256" s="20" t="inlineStr">
        <is>
          <t>Out-of-Scope</t>
        </is>
      </c>
      <c r="F1256" s="151">
        <f>HYPERLINK("https://app.global.datasite.com/webviewer/?projectId=696652ec0dc07cc02daa26a0&amp;documentId=69e213ac2bf69c939bdd8e37","Innerio America Thermal Technology Inc. - 2026 Annual Report (GA) (81755182.1)")</f>
        <v/>
      </c>
      <c r="G1256" t="inlineStr">
        <is>
          <t>DOCUMENT</t>
        </is>
      </c>
      <c r="H1256" t="inlineStr">
        <is>
          <t>pdf</t>
        </is>
      </c>
      <c r="I1256" t="inlineStr">
        <is>
          <t>DOWNLOAD</t>
        </is>
      </c>
      <c r="J1256" t="n">
        <v>0.02970981</v>
      </c>
      <c r="K1256" t="inlineStr">
        <is>
          <t>Unread</t>
        </is>
      </c>
      <c r="L1256" s="153" t="n">
        <v>46176.92764111111</v>
      </c>
      <c r="M1256" t="inlineStr">
        <is>
          <t>69e213ac2bf69c939bdd8e37</t>
        </is>
      </c>
    </row>
    <row r="1257">
      <c r="A1257" s="154" t="inlineStr">
        <is>
          <t>Project Notos</t>
        </is>
      </c>
      <c r="B1257" s="154" t="inlineStr">
        <is>
          <t>3.9</t>
        </is>
      </c>
      <c r="C1257" s="155" t="inlineStr">
        <is>
          <t>Please see also "Legal" folder für Transfer Pricing Documentation</t>
        </is>
      </c>
      <c r="D1257" s="156" t="n"/>
      <c r="E1257" s="156" t="n"/>
      <c r="F1257" s="157" t="inlineStr">
        <is>
          <t>Please see also "Legal" folder für Transfer Pricing Documentation</t>
        </is>
      </c>
      <c r="G1257" s="154" t="inlineStr">
        <is>
          <t>PLACEHOLDER</t>
        </is>
      </c>
      <c r="H1257" s="154" t="n"/>
      <c r="I1257" s="154" t="inlineStr">
        <is>
          <t>DOWNLOAD</t>
        </is>
      </c>
      <c r="J1257" s="154" t="n"/>
      <c r="K1257" s="154" t="inlineStr">
        <is>
          <t>Unread</t>
        </is>
      </c>
      <c r="L1257" s="158" t="n">
        <v>46196.4136121875</v>
      </c>
      <c r="M1257" s="154" t="inlineStr">
        <is>
          <t>6a3a3bbaf17f96c69ac47877</t>
        </is>
      </c>
    </row>
    <row r="1258">
      <c r="A1258" s="154" t="inlineStr">
        <is>
          <t>Project Notos</t>
        </is>
      </c>
      <c r="B1258" s="154" t="inlineStr">
        <is>
          <t>3.10</t>
        </is>
      </c>
      <c r="C1258" s="155" t="inlineStr">
        <is>
          <t>Innerio Group</t>
        </is>
      </c>
      <c r="D1258" s="156" t="n"/>
      <c r="E1258" s="156" t="n"/>
      <c r="F1258" s="157">
        <f>HYPERLINK("https://app.global.datasite.com/platform/container/696652ec0dc07cc02daa26a0/documents/content/index/6a46544d9ff3ecd2bf27fec5","Innerio Group")</f>
        <v/>
      </c>
      <c r="G1258" s="154" t="inlineStr">
        <is>
          <t>FOLDER</t>
        </is>
      </c>
      <c r="H1258" s="154" t="n"/>
      <c r="I1258" s="154" t="inlineStr">
        <is>
          <t>DOWNLOAD</t>
        </is>
      </c>
      <c r="J1258" s="154" t="n"/>
      <c r="K1258" s="154" t="inlineStr">
        <is>
          <t>Unread</t>
        </is>
      </c>
      <c r="L1258" s="158" t="n">
        <v>46205.58912231481</v>
      </c>
      <c r="M1258" s="154" t="inlineStr">
        <is>
          <t>6a46544d9ff3ecd2bf27fec5</t>
        </is>
      </c>
    </row>
    <row r="1259">
      <c r="A1259" s="154" t="inlineStr">
        <is>
          <t>Project Notos</t>
        </is>
      </c>
      <c r="B1259" s="154" t="inlineStr">
        <is>
          <t>3.10.1</t>
        </is>
      </c>
      <c r="C1259" s="155" t="inlineStr">
        <is>
          <t>Shareholdings overview / Tax Treatment</t>
        </is>
      </c>
      <c r="D1259" s="156" t="n"/>
      <c r="E1259" s="156" t="n"/>
      <c r="F1259" s="157">
        <f>HYPERLINK("https://app.global.datasite.com/webviewer/?projectId=696652ec0dc07cc02daa26a0&amp;documentId=6a452645ea2ee269fe73d683","Shareholdings overview / Tax Treatment")</f>
        <v/>
      </c>
      <c r="G1259" s="154" t="inlineStr">
        <is>
          <t>DOCUMENT</t>
        </is>
      </c>
      <c r="H1259" s="154" t="inlineStr">
        <is>
          <t>xlsx</t>
        </is>
      </c>
      <c r="I1259" s="154" t="inlineStr">
        <is>
          <t>DOWNLOAD</t>
        </is>
      </c>
      <c r="J1259" s="154" t="n">
        <v>0.01182842</v>
      </c>
      <c r="K1259" s="154" t="inlineStr">
        <is>
          <t>Unread</t>
        </is>
      </c>
      <c r="L1259" s="158" t="n">
        <v>46205.58912186343</v>
      </c>
      <c r="M1259" s="154" t="inlineStr">
        <is>
          <t>6a452645ea2ee269fe73d683</t>
        </is>
      </c>
    </row>
    <row r="1260">
      <c r="A1260" s="154" t="inlineStr">
        <is>
          <t>Project Notos</t>
        </is>
      </c>
      <c r="B1260" s="154" t="inlineStr">
        <is>
          <t>3.10.2</t>
        </is>
      </c>
      <c r="C1260" s="155" t="inlineStr">
        <is>
          <t>IC Loans - Tax Treatments</t>
        </is>
      </c>
      <c r="D1260" s="156" t="n"/>
      <c r="E1260" s="156" t="n"/>
      <c r="F1260" s="157">
        <f>HYPERLINK("https://app.global.datasite.com/platform/container/696652ec0dc07cc02daa26a0/documents/content/index/6a451dbd85ad1bba7ddf39f8","IC Loans - Tax Treatments")</f>
        <v/>
      </c>
      <c r="G1260" s="154" t="inlineStr">
        <is>
          <t>FOLDER</t>
        </is>
      </c>
      <c r="H1260" s="154" t="n"/>
      <c r="I1260" s="154" t="inlineStr">
        <is>
          <t>DOWNLOAD</t>
        </is>
      </c>
      <c r="J1260" s="154" t="n"/>
      <c r="K1260" s="154" t="inlineStr">
        <is>
          <t>Unread</t>
        </is>
      </c>
      <c r="L1260" s="158" t="n">
        <v>46205.59191841435</v>
      </c>
      <c r="M1260" s="154" t="inlineStr">
        <is>
          <t>6a451dbd85ad1bba7ddf39f8</t>
        </is>
      </c>
    </row>
    <row r="1261">
      <c r="A1261" s="154" t="inlineStr">
        <is>
          <t>Project Notos</t>
        </is>
      </c>
      <c r="B1261" s="154" t="inlineStr">
        <is>
          <t>3.10.2.1</t>
        </is>
      </c>
      <c r="C1261" s="155" t="inlineStr">
        <is>
          <t>IC Loans - tax treatment</t>
        </is>
      </c>
      <c r="D1261" s="156" t="n"/>
      <c r="E1261" s="156" t="n"/>
      <c r="F1261" s="157">
        <f>HYPERLINK("https://app.global.datasite.com/webviewer/?projectId=696652ec0dc07cc02daa26a0&amp;documentId=6a451e5f3bda565624344bf6","IC Loans - tax treatment")</f>
        <v/>
      </c>
      <c r="G1261" s="154" t="inlineStr">
        <is>
          <t>DOCUMENT</t>
        </is>
      </c>
      <c r="H1261" s="154" t="inlineStr">
        <is>
          <t>xlsx</t>
        </is>
      </c>
      <c r="I1261" s="154" t="inlineStr">
        <is>
          <t>DOWNLOAD</t>
        </is>
      </c>
      <c r="J1261" s="154" t="n">
        <v>0.01106739</v>
      </c>
      <c r="K1261" s="154" t="inlineStr">
        <is>
          <t>Unread</t>
        </is>
      </c>
      <c r="L1261" s="158" t="n">
        <v>46205.59191841435</v>
      </c>
      <c r="M1261" s="154" t="inlineStr">
        <is>
          <t>6a451e5f3bda565624344bf6</t>
        </is>
      </c>
    </row>
    <row r="1262">
      <c r="A1262" s="154" t="inlineStr">
        <is>
          <t>Project Notos</t>
        </is>
      </c>
      <c r="B1262" s="154" t="inlineStr">
        <is>
          <t>3.10.3</t>
        </is>
      </c>
      <c r="C1262" s="155" t="inlineStr">
        <is>
          <t>Tax Group</t>
        </is>
      </c>
      <c r="D1262" s="156" t="n"/>
      <c r="E1262" s="156" t="n"/>
      <c r="F1262" s="157">
        <f>HYPERLINK("https://app.global.datasite.com/platform/container/696652ec0dc07cc02daa26a0/documents/content/index/6a4523ee85ad1bba7ddf3bf2","Tax Group")</f>
        <v/>
      </c>
      <c r="G1262" s="154" t="inlineStr">
        <is>
          <t>FOLDER</t>
        </is>
      </c>
      <c r="H1262" s="154" t="n"/>
      <c r="I1262" s="154" t="inlineStr">
        <is>
          <t>DOWNLOAD</t>
        </is>
      </c>
      <c r="J1262" s="154" t="n"/>
      <c r="K1262" s="154" t="inlineStr">
        <is>
          <t>Unread</t>
        </is>
      </c>
      <c r="L1262" s="158" t="n">
        <v>46205.59302901621</v>
      </c>
      <c r="M1262" s="154" t="inlineStr">
        <is>
          <t>6a4523ee85ad1bba7ddf3bf2</t>
        </is>
      </c>
    </row>
    <row r="1263">
      <c r="A1263" s="154" t="inlineStr">
        <is>
          <t>Project Notos</t>
        </is>
      </c>
      <c r="B1263" s="154" t="inlineStr">
        <is>
          <t>3.10.3.1</t>
        </is>
      </c>
      <c r="C1263" s="155" t="inlineStr">
        <is>
          <t>IG_Gruppensteuervertrag_2024</t>
        </is>
      </c>
      <c r="D1263" s="156" t="n"/>
      <c r="E1263" s="156" t="n"/>
      <c r="F1263" s="157">
        <f>HYPERLINK("https://app.global.datasite.com/webviewer/?projectId=696652ec0dc07cc02daa26a0&amp;documentId=6a45244e85ad1bba7ddf3c0a","IG_Gruppensteuervertrag_2024")</f>
        <v/>
      </c>
      <c r="G1263" s="154" t="inlineStr">
        <is>
          <t>DOCUMENT</t>
        </is>
      </c>
      <c r="H1263" s="154" t="inlineStr">
        <is>
          <t>pdf</t>
        </is>
      </c>
      <c r="I1263" s="154" t="inlineStr">
        <is>
          <t>DOWNLOAD</t>
        </is>
      </c>
      <c r="J1263" s="154" t="n">
        <v>4.74883651</v>
      </c>
      <c r="K1263" s="154" t="inlineStr">
        <is>
          <t>Unread</t>
        </is>
      </c>
      <c r="L1263" s="158" t="n">
        <v>46205.59302859953</v>
      </c>
      <c r="M1263" s="154" t="inlineStr">
        <is>
          <t>6a45244e85ad1bba7ddf3c0a</t>
        </is>
      </c>
    </row>
    <row r="1264">
      <c r="A1264" s="149" t="inlineStr">
        <is>
          <t>Project Notos</t>
        </is>
      </c>
      <c r="B1264" s="149" t="inlineStr">
        <is>
          <t>4</t>
        </is>
      </c>
      <c r="C1264" s="17" t="inlineStr">
        <is>
          <t>Operations</t>
        </is>
      </c>
      <c r="D1264" s="25" t="n"/>
      <c r="F1264" s="150">
        <f>HYPERLINK("https://app.global.datasite.com/platform/container/696652ec0dc07cc02daa26a0/documents/content/index/698cb75ff0199a4713d0c2e2","Operations")</f>
        <v/>
      </c>
      <c r="G1264" s="149" t="inlineStr">
        <is>
          <t>FOLDER</t>
        </is>
      </c>
      <c r="H1264" s="149" t="n"/>
      <c r="I1264" s="149" t="inlineStr">
        <is>
          <t>DOWNLOAD</t>
        </is>
      </c>
      <c r="J1264" s="149" t="n"/>
      <c r="K1264" s="149" t="inlineStr">
        <is>
          <t>Unread</t>
        </is>
      </c>
      <c r="L1264" s="152" t="n">
        <v>46176.92764111111</v>
      </c>
      <c r="M1264" s="149" t="inlineStr">
        <is>
          <t>698cb75ff0199a4713d0c2e2</t>
        </is>
      </c>
    </row>
    <row r="1265">
      <c r="A1265" s="149" t="inlineStr">
        <is>
          <t>Project Notos</t>
        </is>
      </c>
      <c r="B1265" s="149" t="inlineStr">
        <is>
          <t>4.1</t>
        </is>
      </c>
      <c r="C1265" s="17" t="inlineStr">
        <is>
          <t>Innerio Thermal Technology (ITT )</t>
        </is>
      </c>
      <c r="D1265" s="25" t="n"/>
      <c r="F1265" s="150">
        <f>HYPERLINK("https://app.global.datasite.com/platform/container/696652ec0dc07cc02daa26a0/documents/content/index/698cb75ff0199a4713d0c2e3","Innerio Thermal Technology (ITT )")</f>
        <v/>
      </c>
      <c r="G1265" s="149" t="inlineStr">
        <is>
          <t>FOLDER</t>
        </is>
      </c>
      <c r="H1265" s="149" t="n"/>
      <c r="I1265" s="149" t="inlineStr">
        <is>
          <t>DOWNLOAD</t>
        </is>
      </c>
      <c r="J1265" s="149" t="n"/>
      <c r="K1265" s="149" t="inlineStr">
        <is>
          <t>Unread</t>
        </is>
      </c>
      <c r="L1265" s="152" t="n">
        <v>46176.92764111111</v>
      </c>
      <c r="M1265" s="149" t="inlineStr">
        <is>
          <t>698cb75ff0199a4713d0c2e3</t>
        </is>
      </c>
    </row>
    <row r="1266">
      <c r="A1266" s="149" t="inlineStr">
        <is>
          <t>Project Notos</t>
        </is>
      </c>
      <c r="B1266" s="149" t="inlineStr">
        <is>
          <t>4.1.1</t>
        </is>
      </c>
      <c r="C1266" s="17" t="inlineStr">
        <is>
          <t>Certifications</t>
        </is>
      </c>
      <c r="D1266" s="25" t="n"/>
      <c r="F1266" s="150">
        <f>HYPERLINK("https://app.global.datasite.com/platform/container/696652ec0dc07cc02daa26a0/documents/content/index/69cab35517350af3e89edf35","Certifications")</f>
        <v/>
      </c>
      <c r="G1266" s="149" t="inlineStr">
        <is>
          <t>FOLDER</t>
        </is>
      </c>
      <c r="H1266" s="149" t="n"/>
      <c r="I1266" s="149" t="inlineStr">
        <is>
          <t>DOWNLOAD</t>
        </is>
      </c>
      <c r="J1266" s="149" t="n"/>
      <c r="K1266" s="149" t="inlineStr">
        <is>
          <t>Unread</t>
        </is>
      </c>
      <c r="L1266" s="152" t="n">
        <v>46176.92764111111</v>
      </c>
      <c r="M1266" s="149" t="inlineStr">
        <is>
          <t>69cab35517350af3e89edf35</t>
        </is>
      </c>
    </row>
    <row r="1267">
      <c r="A1267" t="inlineStr">
        <is>
          <t>Project Notos</t>
        </is>
      </c>
      <c r="B1267" t="inlineStr">
        <is>
          <t>4.1.1.1</t>
        </is>
      </c>
      <c r="C1267" s="15" t="inlineStr">
        <is>
          <t>ITT_01 100 1941580_Main_EN</t>
        </is>
      </c>
      <c r="D1267" s="20" t="inlineStr">
        <is>
          <t>Out-of-Scope</t>
        </is>
      </c>
      <c r="F1267" s="151">
        <f>HYPERLINK("https://app.global.datasite.com/webviewer/?projectId=696652ec0dc07cc02daa26a0&amp;documentId=69cab36ac5c018b6482b259e","ITT_01 100 1941580_Main_EN")</f>
        <v/>
      </c>
      <c r="G1267" t="inlineStr">
        <is>
          <t>DOCUMENT</t>
        </is>
      </c>
      <c r="H1267" t="inlineStr">
        <is>
          <t>pdf</t>
        </is>
      </c>
      <c r="I1267" t="inlineStr">
        <is>
          <t>DOWNLOAD</t>
        </is>
      </c>
      <c r="J1267" t="n">
        <v>0.19878387</v>
      </c>
      <c r="K1267" t="inlineStr">
        <is>
          <t>Unread</t>
        </is>
      </c>
      <c r="L1267" s="153" t="n">
        <v>46176.92764111111</v>
      </c>
      <c r="M1267" t="inlineStr">
        <is>
          <t>69cab36ac5c018b6482b259e</t>
        </is>
      </c>
    </row>
    <row r="1268">
      <c r="A1268" t="inlineStr">
        <is>
          <t>Project Notos</t>
        </is>
      </c>
      <c r="B1268" t="inlineStr">
        <is>
          <t>4.1.1.2</t>
        </is>
      </c>
      <c r="C1268" s="15" t="inlineStr">
        <is>
          <t>ITT_01 100 1941580_Main_PL</t>
        </is>
      </c>
      <c r="D1268" s="20" t="inlineStr">
        <is>
          <t>Out-of-Scope</t>
        </is>
      </c>
      <c r="F1268" s="151">
        <f>HYPERLINK("https://app.global.datasite.com/webviewer/?projectId=696652ec0dc07cc02daa26a0&amp;documentId=69cab36ac5c018b6482b259f","ITT_01 100 1941580_Main_PL")</f>
        <v/>
      </c>
      <c r="G1268" t="inlineStr">
        <is>
          <t>DOCUMENT</t>
        </is>
      </c>
      <c r="H1268" t="inlineStr">
        <is>
          <t>pdf</t>
        </is>
      </c>
      <c r="I1268" t="inlineStr">
        <is>
          <t>DOWNLOAD</t>
        </is>
      </c>
      <c r="J1268" t="n">
        <v>0.22552776</v>
      </c>
      <c r="K1268" t="inlineStr">
        <is>
          <t>Unread</t>
        </is>
      </c>
      <c r="L1268" s="153" t="n">
        <v>46176.92764111111</v>
      </c>
      <c r="M1268" t="inlineStr">
        <is>
          <t>69cab36ac5c018b6482b259f</t>
        </is>
      </c>
    </row>
    <row r="1269">
      <c r="A1269" t="inlineStr">
        <is>
          <t>Project Notos</t>
        </is>
      </c>
      <c r="B1269" t="inlineStr">
        <is>
          <t>4.1.1.3</t>
        </is>
      </c>
      <c r="C1269" s="15" t="inlineStr">
        <is>
          <t>ITT_01 111 1941583_Main_EN</t>
        </is>
      </c>
      <c r="D1269" s="20" t="inlineStr">
        <is>
          <t>Out-of-Scope</t>
        </is>
      </c>
      <c r="F1269" s="151">
        <f>HYPERLINK("https://app.global.datasite.com/webviewer/?projectId=696652ec0dc07cc02daa26a0&amp;documentId=69cab36ac5c018b6482b25a1","ITT_01 111 1941583_Main_EN")</f>
        <v/>
      </c>
      <c r="G1269" t="inlineStr">
        <is>
          <t>DOCUMENT</t>
        </is>
      </c>
      <c r="H1269" t="inlineStr">
        <is>
          <t>pdf</t>
        </is>
      </c>
      <c r="I1269" t="inlineStr">
        <is>
          <t>DOWNLOAD</t>
        </is>
      </c>
      <c r="J1269" t="n">
        <v>0.17253875</v>
      </c>
      <c r="K1269" t="inlineStr">
        <is>
          <t>Unread</t>
        </is>
      </c>
      <c r="L1269" s="153" t="n">
        <v>46176.92764111111</v>
      </c>
      <c r="M1269" t="inlineStr">
        <is>
          <t>69cab36ac5c018b6482b25a1</t>
        </is>
      </c>
    </row>
    <row r="1270">
      <c r="A1270" t="inlineStr">
        <is>
          <t>Project Notos</t>
        </is>
      </c>
      <c r="B1270" t="inlineStr">
        <is>
          <t>4.1.1.4</t>
        </is>
      </c>
      <c r="C1270" s="15" t="inlineStr">
        <is>
          <t>ITT_01 111 1941583_Annex_EN</t>
        </is>
      </c>
      <c r="D1270" s="20" t="inlineStr">
        <is>
          <t>Out-of-Scope</t>
        </is>
      </c>
      <c r="F1270" s="151">
        <f>HYPERLINK("https://app.global.datasite.com/webviewer/?projectId=696652ec0dc07cc02daa26a0&amp;documentId=69cab36ac5c018b6482b25a0","ITT_01 111 1941583_Annex_EN")</f>
        <v/>
      </c>
      <c r="G1270" t="inlineStr">
        <is>
          <t>DOCUMENT</t>
        </is>
      </c>
      <c r="H1270" t="inlineStr">
        <is>
          <t>pdf</t>
        </is>
      </c>
      <c r="I1270" t="inlineStr">
        <is>
          <t>DOWNLOAD</t>
        </is>
      </c>
      <c r="J1270" t="n">
        <v>0.17311668</v>
      </c>
      <c r="K1270" t="inlineStr">
        <is>
          <t>Unread</t>
        </is>
      </c>
      <c r="L1270" s="153" t="n">
        <v>46176.92764111111</v>
      </c>
      <c r="M1270" t="inlineStr">
        <is>
          <t>69cab36ac5c018b6482b25a0</t>
        </is>
      </c>
    </row>
    <row r="1271">
      <c r="A1271" t="inlineStr">
        <is>
          <t>Project Notos</t>
        </is>
      </c>
      <c r="B1271" t="inlineStr">
        <is>
          <t>4.1.1.5</t>
        </is>
      </c>
      <c r="C1271" s="15" t="inlineStr">
        <is>
          <t>ITT_01 213 2542431_Main_EN</t>
        </is>
      </c>
      <c r="D1271" s="20" t="inlineStr">
        <is>
          <t>Out-of-Scope</t>
        </is>
      </c>
      <c r="F1271" s="151">
        <f>HYPERLINK("https://app.global.datasite.com/webviewer/?projectId=696652ec0dc07cc02daa26a0&amp;documentId=69cab36ac5c018b6482b25a4","ITT_01 213 2542431_Main_EN")</f>
        <v/>
      </c>
      <c r="G1271" t="inlineStr">
        <is>
          <t>DOCUMENT</t>
        </is>
      </c>
      <c r="H1271" t="inlineStr">
        <is>
          <t>pdf</t>
        </is>
      </c>
      <c r="I1271" t="inlineStr">
        <is>
          <t>DOWNLOAD</t>
        </is>
      </c>
      <c r="J1271" t="n">
        <v>0.19801044</v>
      </c>
      <c r="K1271" t="inlineStr">
        <is>
          <t>Unread</t>
        </is>
      </c>
      <c r="L1271" s="153" t="n">
        <v>46176.92764111111</v>
      </c>
      <c r="M1271" t="inlineStr">
        <is>
          <t>69cab36ac5c018b6482b25a4</t>
        </is>
      </c>
    </row>
    <row r="1272">
      <c r="A1272" t="inlineStr">
        <is>
          <t>Project Notos</t>
        </is>
      </c>
      <c r="B1272" t="inlineStr">
        <is>
          <t>4.1.1.6</t>
        </is>
      </c>
      <c r="C1272" s="15" t="inlineStr">
        <is>
          <t>ITT_01 213 2542431_Main_PL</t>
        </is>
      </c>
      <c r="D1272" s="20" t="inlineStr">
        <is>
          <t>Out-of-Scope</t>
        </is>
      </c>
      <c r="F1272" s="151">
        <f>HYPERLINK("https://app.global.datasite.com/webviewer/?projectId=696652ec0dc07cc02daa26a0&amp;documentId=69cab36ac5c018b6482b25a5","ITT_01 213 2542431_Main_PL")</f>
        <v/>
      </c>
      <c r="G1272" t="inlineStr">
        <is>
          <t>DOCUMENT</t>
        </is>
      </c>
      <c r="H1272" t="inlineStr">
        <is>
          <t>pdf</t>
        </is>
      </c>
      <c r="I1272" t="inlineStr">
        <is>
          <t>DOWNLOAD</t>
        </is>
      </c>
      <c r="J1272" t="n">
        <v>0.2290945</v>
      </c>
      <c r="K1272" t="inlineStr">
        <is>
          <t>Unread</t>
        </is>
      </c>
      <c r="L1272" s="153" t="n">
        <v>46176.92764111111</v>
      </c>
      <c r="M1272" t="inlineStr">
        <is>
          <t>69cab36ac5c018b6482b25a5</t>
        </is>
      </c>
    </row>
    <row r="1273">
      <c r="A1273" t="inlineStr">
        <is>
          <t>Project Notos</t>
        </is>
      </c>
      <c r="B1273" t="inlineStr">
        <is>
          <t>4.1.1.7</t>
        </is>
      </c>
      <c r="C1273" s="15" t="inlineStr">
        <is>
          <t>ITT_01 213 2542431_Annex_EN</t>
        </is>
      </c>
      <c r="D1273" s="20" t="inlineStr">
        <is>
          <t>Out-of-Scope</t>
        </is>
      </c>
      <c r="F1273" s="151">
        <f>HYPERLINK("https://app.global.datasite.com/webviewer/?projectId=696652ec0dc07cc02daa26a0&amp;documentId=69cab36ac5c018b6482b25a2","ITT_01 213 2542431_Annex_EN")</f>
        <v/>
      </c>
      <c r="G1273" t="inlineStr">
        <is>
          <t>DOCUMENT</t>
        </is>
      </c>
      <c r="H1273" t="inlineStr">
        <is>
          <t>pdf</t>
        </is>
      </c>
      <c r="I1273" t="inlineStr">
        <is>
          <t>DOWNLOAD</t>
        </is>
      </c>
      <c r="J1273" t="n">
        <v>0.15878868</v>
      </c>
      <c r="K1273" t="inlineStr">
        <is>
          <t>Unread</t>
        </is>
      </c>
      <c r="L1273" s="153" t="n">
        <v>46176.92764111111</v>
      </c>
      <c r="M1273" t="inlineStr">
        <is>
          <t>69cab36ac5c018b6482b25a2</t>
        </is>
      </c>
    </row>
    <row r="1274">
      <c r="A1274" t="inlineStr">
        <is>
          <t>Project Notos</t>
        </is>
      </c>
      <c r="B1274" t="inlineStr">
        <is>
          <t>4.1.1.8</t>
        </is>
      </c>
      <c r="C1274" s="15" t="inlineStr">
        <is>
          <t>ITT_01 213 2542431_Annex_PL</t>
        </is>
      </c>
      <c r="D1274" s="20" t="inlineStr">
        <is>
          <t>Out-of-Scope</t>
        </is>
      </c>
      <c r="F1274" s="151">
        <f>HYPERLINK("https://app.global.datasite.com/webviewer/?projectId=696652ec0dc07cc02daa26a0&amp;documentId=69cab36ac5c018b6482b25a3","ITT_01 213 2542431_Annex_PL")</f>
        <v/>
      </c>
      <c r="G1274" t="inlineStr">
        <is>
          <t>DOCUMENT</t>
        </is>
      </c>
      <c r="H1274" t="inlineStr">
        <is>
          <t>pdf</t>
        </is>
      </c>
      <c r="I1274" t="inlineStr">
        <is>
          <t>DOWNLOAD</t>
        </is>
      </c>
      <c r="J1274" t="n">
        <v>0.16231441</v>
      </c>
      <c r="K1274" t="inlineStr">
        <is>
          <t>Unread</t>
        </is>
      </c>
      <c r="L1274" s="153" t="n">
        <v>46176.92764111111</v>
      </c>
      <c r="M1274" t="inlineStr">
        <is>
          <t>69cab36ac5c018b6482b25a3</t>
        </is>
      </c>
    </row>
    <row r="1275">
      <c r="A1275" t="inlineStr">
        <is>
          <t>Project Notos</t>
        </is>
      </c>
      <c r="B1275" t="inlineStr">
        <is>
          <t>4.1.1.9</t>
        </is>
      </c>
      <c r="C1275" s="15" t="inlineStr">
        <is>
          <t>ITT_0198 104 2542430_Main_EN</t>
        </is>
      </c>
      <c r="D1275" s="20" t="inlineStr">
        <is>
          <t>Out-of-Scope</t>
        </is>
      </c>
      <c r="F1275" s="151">
        <f>HYPERLINK("https://app.global.datasite.com/webviewer/?projectId=696652ec0dc07cc02daa26a0&amp;documentId=69cab36ac5c018b6482b25a8","ITT_0198 104 2542430_Main_EN")</f>
        <v/>
      </c>
      <c r="G1275" t="inlineStr">
        <is>
          <t>DOCUMENT</t>
        </is>
      </c>
      <c r="H1275" t="inlineStr">
        <is>
          <t>pdf</t>
        </is>
      </c>
      <c r="I1275" t="inlineStr">
        <is>
          <t>DOWNLOAD</t>
        </is>
      </c>
      <c r="J1275" t="n">
        <v>0.21452903</v>
      </c>
      <c r="K1275" t="inlineStr">
        <is>
          <t>Unread</t>
        </is>
      </c>
      <c r="L1275" s="153" t="n">
        <v>46176.92764111111</v>
      </c>
      <c r="M1275" t="inlineStr">
        <is>
          <t>69cab36ac5c018b6482b25a8</t>
        </is>
      </c>
    </row>
    <row r="1276">
      <c r="A1276" t="inlineStr">
        <is>
          <t>Project Notos</t>
        </is>
      </c>
      <c r="B1276" t="inlineStr">
        <is>
          <t>4.1.1.10</t>
        </is>
      </c>
      <c r="C1276" s="15" t="inlineStr">
        <is>
          <t>ITT_0198 104 2542430_Main_PL</t>
        </is>
      </c>
      <c r="D1276" s="20" t="inlineStr">
        <is>
          <t>Out-of-Scope</t>
        </is>
      </c>
      <c r="F1276" s="151">
        <f>HYPERLINK("https://app.global.datasite.com/webviewer/?projectId=696652ec0dc07cc02daa26a0&amp;documentId=69cab36ac5c018b6482b25a9","ITT_0198 104 2542430_Main_PL")</f>
        <v/>
      </c>
      <c r="G1276" t="inlineStr">
        <is>
          <t>DOCUMENT</t>
        </is>
      </c>
      <c r="H1276" t="inlineStr">
        <is>
          <t>pdf</t>
        </is>
      </c>
      <c r="I1276" t="inlineStr">
        <is>
          <t>DOWNLOAD</t>
        </is>
      </c>
      <c r="J1276" t="n">
        <v>0.21479701</v>
      </c>
      <c r="K1276" t="inlineStr">
        <is>
          <t>Unread</t>
        </is>
      </c>
      <c r="L1276" s="153" t="n">
        <v>46176.92764111111</v>
      </c>
      <c r="M1276" t="inlineStr">
        <is>
          <t>69cab36ac5c018b6482b25a9</t>
        </is>
      </c>
    </row>
    <row r="1277">
      <c r="A1277" t="inlineStr">
        <is>
          <t>Project Notos</t>
        </is>
      </c>
      <c r="B1277" t="inlineStr">
        <is>
          <t>4.1.1.11</t>
        </is>
      </c>
      <c r="C1277" s="15" t="inlineStr">
        <is>
          <t>ITT_0198 104 2542430_Annex_EN</t>
        </is>
      </c>
      <c r="D1277" s="20" t="inlineStr">
        <is>
          <t>Out-of-Scope</t>
        </is>
      </c>
      <c r="F1277" s="151">
        <f>HYPERLINK("https://app.global.datasite.com/webviewer/?projectId=696652ec0dc07cc02daa26a0&amp;documentId=69cab36ac5c018b6482b25a6","ITT_0198 104 2542430_Annex_EN")</f>
        <v/>
      </c>
      <c r="G1277" t="inlineStr">
        <is>
          <t>DOCUMENT</t>
        </is>
      </c>
      <c r="H1277" t="inlineStr">
        <is>
          <t>pdf</t>
        </is>
      </c>
      <c r="I1277" t="inlineStr">
        <is>
          <t>DOWNLOAD</t>
        </is>
      </c>
      <c r="J1277" t="n">
        <v>0.19921493</v>
      </c>
      <c r="K1277" t="inlineStr">
        <is>
          <t>Unread</t>
        </is>
      </c>
      <c r="L1277" s="153" t="n">
        <v>46176.92764111111</v>
      </c>
      <c r="M1277" t="inlineStr">
        <is>
          <t>69cab36ac5c018b6482b25a6</t>
        </is>
      </c>
    </row>
    <row r="1278">
      <c r="A1278" t="inlineStr">
        <is>
          <t>Project Notos</t>
        </is>
      </c>
      <c r="B1278" t="inlineStr">
        <is>
          <t>4.1.1.12</t>
        </is>
      </c>
      <c r="C1278" s="15" t="inlineStr">
        <is>
          <t>ITT_0198 104 2542430_Annex_PL</t>
        </is>
      </c>
      <c r="D1278" s="20" t="inlineStr">
        <is>
          <t>Out-of-Scope</t>
        </is>
      </c>
      <c r="F1278" s="151">
        <f>HYPERLINK("https://app.global.datasite.com/webviewer/?projectId=696652ec0dc07cc02daa26a0&amp;documentId=69cab36ac5c018b6482b25a7","ITT_0198 104 2542430_Annex_PL")</f>
        <v/>
      </c>
      <c r="G1278" t="inlineStr">
        <is>
          <t>DOCUMENT</t>
        </is>
      </c>
      <c r="H1278" t="inlineStr">
        <is>
          <t>pdf</t>
        </is>
      </c>
      <c r="I1278" t="inlineStr">
        <is>
          <t>DOWNLOAD</t>
        </is>
      </c>
      <c r="J1278" t="n">
        <v>0.19907569</v>
      </c>
      <c r="K1278" t="inlineStr">
        <is>
          <t>Unread</t>
        </is>
      </c>
      <c r="L1278" s="153" t="n">
        <v>46176.92764111111</v>
      </c>
      <c r="M1278" t="inlineStr">
        <is>
          <t>69cab36ac5c018b6482b25a7</t>
        </is>
      </c>
    </row>
    <row r="1279">
      <c r="A1279" t="inlineStr">
        <is>
          <t>Project Notos</t>
        </is>
      </c>
      <c r="B1279" t="inlineStr">
        <is>
          <t>4.1.1.13</t>
        </is>
      </c>
      <c r="C1279" s="15" t="inlineStr">
        <is>
          <t>ITT_TISAX</t>
        </is>
      </c>
      <c r="D1279" s="20" t="inlineStr">
        <is>
          <t>Out-of-Scope</t>
        </is>
      </c>
      <c r="F1279" s="151">
        <f>HYPERLINK("https://app.global.datasite.com/webviewer/?projectId=696652ec0dc07cc02daa26a0&amp;documentId=69cab36ac5c018b6482b25aa","ITT_TISAX")</f>
        <v/>
      </c>
      <c r="G1279" t="inlineStr">
        <is>
          <t>DOCUMENT</t>
        </is>
      </c>
      <c r="H1279" t="inlineStr">
        <is>
          <t>pdf</t>
        </is>
      </c>
      <c r="I1279" t="inlineStr">
        <is>
          <t>DOWNLOAD</t>
        </is>
      </c>
      <c r="J1279" t="n">
        <v>0.15325546</v>
      </c>
      <c r="K1279" t="inlineStr">
        <is>
          <t>Unread</t>
        </is>
      </c>
      <c r="L1279" s="153" t="n">
        <v>46176.92764111111</v>
      </c>
      <c r="M1279" t="inlineStr">
        <is>
          <t>69cab36ac5c018b6482b25aa</t>
        </is>
      </c>
    </row>
    <row r="1280">
      <c r="A1280" t="inlineStr">
        <is>
          <t>Project Notos</t>
        </is>
      </c>
      <c r="B1280" t="inlineStr">
        <is>
          <t>4.1.1.14</t>
        </is>
      </c>
      <c r="C1280" s="15" t="inlineStr">
        <is>
          <t>ITT_ISO 14001+ ISO45001 Innerio - ENGUS 08.11.2028</t>
        </is>
      </c>
      <c r="D1280" s="20" t="inlineStr">
        <is>
          <t>Out-of-Scope</t>
        </is>
      </c>
      <c r="F1280" s="151">
        <f>HYPERLINK("https://app.global.datasite.com/webviewer/?projectId=696652ec0dc07cc02daa26a0&amp;documentId=6a1fdc16375b9e7a4e765e73","ITT_ISO 14001+ ISO45001 Innerio - ENGUS 08.11.2028")</f>
        <v/>
      </c>
      <c r="G1280" t="inlineStr">
        <is>
          <t>DOCUMENT</t>
        </is>
      </c>
      <c r="H1280" t="inlineStr">
        <is>
          <t>pdf</t>
        </is>
      </c>
      <c r="I1280" t="inlineStr">
        <is>
          <t>DOWNLOAD</t>
        </is>
      </c>
      <c r="J1280" t="n">
        <v>0.19734859</v>
      </c>
      <c r="K1280" t="inlineStr">
        <is>
          <t>Unread</t>
        </is>
      </c>
      <c r="L1280" s="153" t="n">
        <v>46176.92764111111</v>
      </c>
      <c r="M1280" t="inlineStr">
        <is>
          <t>6a1fdc16375b9e7a4e765e73</t>
        </is>
      </c>
    </row>
    <row r="1281">
      <c r="A1281" s="149" t="inlineStr">
        <is>
          <t>Project Notos</t>
        </is>
      </c>
      <c r="B1281" s="149" t="inlineStr">
        <is>
          <t>4.1.2</t>
        </is>
      </c>
      <c r="C1281" s="17" t="inlineStr">
        <is>
          <t>IT</t>
        </is>
      </c>
      <c r="D1281" s="25" t="n"/>
      <c r="F1281" s="150">
        <f>HYPERLINK("https://app.global.datasite.com/platform/container/696652ec0dc07cc02daa26a0/documents/content/index/69cbfc64d71dfed7bae8e624","IT")</f>
        <v/>
      </c>
      <c r="G1281" s="149" t="inlineStr">
        <is>
          <t>FOLDER</t>
        </is>
      </c>
      <c r="H1281" s="149" t="n"/>
      <c r="I1281" s="149" t="inlineStr">
        <is>
          <t>DOWNLOAD</t>
        </is>
      </c>
      <c r="J1281" s="149" t="n"/>
      <c r="K1281" s="149" t="inlineStr">
        <is>
          <t>Unread</t>
        </is>
      </c>
      <c r="L1281" s="152" t="n">
        <v>46176.92764111111</v>
      </c>
      <c r="M1281" s="149" t="inlineStr">
        <is>
          <t>69cbfc64d71dfed7bae8e624</t>
        </is>
      </c>
    </row>
    <row r="1282">
      <c r="A1282" t="inlineStr">
        <is>
          <t>Project Notos</t>
        </is>
      </c>
      <c r="B1282" t="inlineStr">
        <is>
          <t>4.1.2.1</t>
        </is>
      </c>
      <c r="C1282" s="15" t="inlineStr">
        <is>
          <t>Innerio core systems landscape 0.1</t>
        </is>
      </c>
      <c r="D1282" s="20" t="inlineStr">
        <is>
          <t>Out-of-Scope</t>
        </is>
      </c>
      <c r="F1282" s="151">
        <f>HYPERLINK("https://app.global.datasite.com/webviewer/?projectId=696652ec0dc07cc02daa26a0&amp;documentId=69cbfc73a55f36900f27f8f4","Innerio core systems landscape 0.1")</f>
        <v/>
      </c>
      <c r="G1282" t="inlineStr">
        <is>
          <t>DOCUMENT</t>
        </is>
      </c>
      <c r="H1282" t="inlineStr">
        <is>
          <t>pptx</t>
        </is>
      </c>
      <c r="I1282" t="inlineStr">
        <is>
          <t>DOWNLOAD</t>
        </is>
      </c>
      <c r="J1282" t="n">
        <v>0.04471111</v>
      </c>
      <c r="K1282" t="inlineStr">
        <is>
          <t>Unread</t>
        </is>
      </c>
      <c r="L1282" s="153" t="n">
        <v>46176.92764111111</v>
      </c>
      <c r="M1282" t="inlineStr">
        <is>
          <t>69cbfc73a55f36900f27f8f4</t>
        </is>
      </c>
    </row>
    <row r="1283">
      <c r="A1283" t="inlineStr">
        <is>
          <t>Project Notos</t>
        </is>
      </c>
      <c r="B1283" t="inlineStr">
        <is>
          <t>4.1.2.2</t>
        </is>
      </c>
      <c r="C1283" s="15" t="inlineStr">
        <is>
          <t>Group interface</t>
        </is>
      </c>
      <c r="D1283" s="20" t="inlineStr">
        <is>
          <t>Out-of-Scope</t>
        </is>
      </c>
      <c r="F1283" s="151">
        <f>HYPERLINK("https://app.global.datasite.com/webviewer/?projectId=696652ec0dc07cc02daa26a0&amp;documentId=69cbfd0dc5c018b6482bc7c9","Group interface")</f>
        <v/>
      </c>
      <c r="G1283" t="inlineStr">
        <is>
          <t>DOCUMENT</t>
        </is>
      </c>
      <c r="H1283" t="inlineStr">
        <is>
          <t>txt</t>
        </is>
      </c>
      <c r="I1283" t="inlineStr">
        <is>
          <t>DOWNLOAD</t>
        </is>
      </c>
      <c r="J1283" t="n">
        <v>8.392e-05</v>
      </c>
      <c r="K1283" t="inlineStr">
        <is>
          <t>Unread</t>
        </is>
      </c>
      <c r="L1283" s="153" t="n">
        <v>46176.92764111111</v>
      </c>
      <c r="M1283" t="inlineStr">
        <is>
          <t>69cbfd0dc5c018b6482bc7c9</t>
        </is>
      </c>
    </row>
    <row r="1284">
      <c r="A1284" s="149" t="inlineStr">
        <is>
          <t>Project Notos</t>
        </is>
      </c>
      <c r="B1284" s="149" t="inlineStr">
        <is>
          <t>4.1.3</t>
        </is>
      </c>
      <c r="C1284" s="17" t="inlineStr">
        <is>
          <t>Plant Layout</t>
        </is>
      </c>
      <c r="D1284" s="25" t="n"/>
      <c r="F1284" s="150">
        <f>HYPERLINK("https://app.global.datasite.com/platform/container/696652ec0dc07cc02daa26a0/documents/content/index/6a193ec27f247777b5a28d41","Plant Layout")</f>
        <v/>
      </c>
      <c r="G1284" s="149" t="inlineStr">
        <is>
          <t>FOLDER</t>
        </is>
      </c>
      <c r="H1284" s="149" t="n"/>
      <c r="I1284" s="149" t="inlineStr">
        <is>
          <t>DOWNLOAD</t>
        </is>
      </c>
      <c r="J1284" s="149" t="n"/>
      <c r="K1284" s="149" t="inlineStr">
        <is>
          <t>Unread</t>
        </is>
      </c>
      <c r="L1284" s="152" t="n">
        <v>46176.92764111111</v>
      </c>
      <c r="M1284" s="149" t="inlineStr">
        <is>
          <t>6a193ec27f247777b5a28d41</t>
        </is>
      </c>
    </row>
    <row r="1285">
      <c r="A1285" t="inlineStr">
        <is>
          <t>Project Notos</t>
        </is>
      </c>
      <c r="B1285" t="inlineStr">
        <is>
          <t>4.1.3.1</t>
        </is>
      </c>
      <c r="C1285" s="15" t="inlineStr">
        <is>
          <t>ITT_Layout_20260528</t>
        </is>
      </c>
      <c r="D1285" s="20" t="inlineStr">
        <is>
          <t>Out-of-Scope</t>
        </is>
      </c>
      <c r="F1285" s="151">
        <f>HYPERLINK("https://app.global.datasite.com/webviewer/?projectId=696652ec0dc07cc02daa26a0&amp;documentId=6a193ed5f8e9903ea0bbcf10","ITT_Layout_20260528")</f>
        <v/>
      </c>
      <c r="G1285" t="inlineStr">
        <is>
          <t>DOCUMENT</t>
        </is>
      </c>
      <c r="H1285" t="inlineStr">
        <is>
          <t>pdf</t>
        </is>
      </c>
      <c r="I1285" t="inlineStr">
        <is>
          <t>DOWNLOAD</t>
        </is>
      </c>
      <c r="J1285" t="n">
        <v>6.79999065</v>
      </c>
      <c r="K1285" t="inlineStr">
        <is>
          <t>Unread</t>
        </is>
      </c>
      <c r="L1285" s="153" t="n">
        <v>46176.92764111111</v>
      </c>
      <c r="M1285" t="inlineStr">
        <is>
          <t>6a193ed5f8e9903ea0bbcf10</t>
        </is>
      </c>
    </row>
    <row r="1286">
      <c r="A1286" s="149" t="inlineStr">
        <is>
          <t>Project Notos</t>
        </is>
      </c>
      <c r="B1286" s="149" t="inlineStr">
        <is>
          <t>4.2</t>
        </is>
      </c>
      <c r="C1286" s="17" t="inlineStr">
        <is>
          <t>Innerio Heat Exchanger (IHE)</t>
        </is>
      </c>
      <c r="D1286" s="25" t="n"/>
      <c r="F1286" s="150">
        <f>HYPERLINK("https://app.global.datasite.com/platform/container/696652ec0dc07cc02daa26a0/documents/content/index/698cb75ff0199a4713d0c2e4","Innerio Heat Exchanger (IHE)")</f>
        <v/>
      </c>
      <c r="G1286" s="149" t="inlineStr">
        <is>
          <t>FOLDER</t>
        </is>
      </c>
      <c r="H1286" s="149" t="n"/>
      <c r="I1286" s="149" t="inlineStr">
        <is>
          <t>DOWNLOAD</t>
        </is>
      </c>
      <c r="J1286" s="149" t="n"/>
      <c r="K1286" s="149" t="inlineStr">
        <is>
          <t>Unread</t>
        </is>
      </c>
      <c r="L1286" s="152" t="n">
        <v>46176.92764111111</v>
      </c>
      <c r="M1286" s="149" t="inlineStr">
        <is>
          <t>698cb75ff0199a4713d0c2e4</t>
        </is>
      </c>
    </row>
    <row r="1287">
      <c r="A1287" s="149" t="inlineStr">
        <is>
          <t>Project Notos</t>
        </is>
      </c>
      <c r="B1287" s="149" t="inlineStr">
        <is>
          <t>4.2.1</t>
        </is>
      </c>
      <c r="C1287" s="17" t="inlineStr">
        <is>
          <t>Certifications</t>
        </is>
      </c>
      <c r="D1287" s="25" t="n"/>
      <c r="F1287" s="150">
        <f>HYPERLINK("https://app.global.datasite.com/platform/container/696652ec0dc07cc02daa26a0/documents/content/index/69cab2105bd753d4396811d1","Certifications")</f>
        <v/>
      </c>
      <c r="G1287" s="149" t="inlineStr">
        <is>
          <t>FOLDER</t>
        </is>
      </c>
      <c r="H1287" s="149" t="n"/>
      <c r="I1287" s="149" t="inlineStr">
        <is>
          <t>DOWNLOAD</t>
        </is>
      </c>
      <c r="J1287" s="149" t="n"/>
      <c r="K1287" s="149" t="inlineStr">
        <is>
          <t>Unread</t>
        </is>
      </c>
      <c r="L1287" s="152" t="n">
        <v>46176.92764111111</v>
      </c>
      <c r="M1287" s="149" t="inlineStr">
        <is>
          <t>69cab2105bd753d4396811d1</t>
        </is>
      </c>
    </row>
    <row r="1288">
      <c r="A1288" t="inlineStr">
        <is>
          <t>Project Notos</t>
        </is>
      </c>
      <c r="B1288" t="inlineStr">
        <is>
          <t>4.2.1.1</t>
        </is>
      </c>
      <c r="C1288" s="15" t="inlineStr">
        <is>
          <t>IHE_IATF Innerio 16949-ENGUS_23.07.2028</t>
        </is>
      </c>
      <c r="D1288" s="20" t="inlineStr">
        <is>
          <t>Out-of-Scope</t>
        </is>
      </c>
      <c r="F1288" s="151">
        <f>HYPERLINK("https://app.global.datasite.com/webviewer/?projectId=696652ec0dc07cc02daa26a0&amp;documentId=69cab222cc0f2dc5e8040c25","IHE_IATF Innerio 16949-ENGUS_23.07.2028")</f>
        <v/>
      </c>
      <c r="G1288" t="inlineStr">
        <is>
          <t>DOCUMENT</t>
        </is>
      </c>
      <c r="H1288" t="inlineStr">
        <is>
          <t>pdf</t>
        </is>
      </c>
      <c r="I1288" t="inlineStr">
        <is>
          <t>DOWNLOAD</t>
        </is>
      </c>
      <c r="J1288" t="n">
        <v>0.14301204</v>
      </c>
      <c r="K1288" t="inlineStr">
        <is>
          <t>Unread</t>
        </is>
      </c>
      <c r="L1288" s="153" t="n">
        <v>46176.92764111111</v>
      </c>
      <c r="M1288" t="inlineStr">
        <is>
          <t>69cab222cc0f2dc5e8040c25</t>
        </is>
      </c>
    </row>
    <row r="1289">
      <c r="A1289" t="inlineStr">
        <is>
          <t>Project Notos</t>
        </is>
      </c>
      <c r="B1289" t="inlineStr">
        <is>
          <t>4.2.1.2</t>
        </is>
      </c>
      <c r="C1289" s="15" t="inlineStr">
        <is>
          <t>IHE_ISO 14001+ ISO45001 Innerio_08.11.2028</t>
        </is>
      </c>
      <c r="D1289" s="20" t="inlineStr">
        <is>
          <t>Out-of-Scope</t>
        </is>
      </c>
      <c r="F1289" s="151">
        <f>HYPERLINK("https://app.global.datasite.com/webviewer/?projectId=696652ec0dc07cc02daa26a0&amp;documentId=69cab222cc0f2dc5e8040c26","IHE_ISO 14001+ ISO45001 Innerio_08.11.2028")</f>
        <v/>
      </c>
      <c r="G1289" t="inlineStr">
        <is>
          <t>DOCUMENT</t>
        </is>
      </c>
      <c r="H1289" t="inlineStr">
        <is>
          <t>pdf</t>
        </is>
      </c>
      <c r="I1289" t="inlineStr">
        <is>
          <t>DOWNLOAD</t>
        </is>
      </c>
      <c r="J1289" t="n">
        <v>0.8052597</v>
      </c>
      <c r="K1289" t="inlineStr">
        <is>
          <t>Unread</t>
        </is>
      </c>
      <c r="L1289" s="153" t="n">
        <v>46176.92764111111</v>
      </c>
      <c r="M1289" t="inlineStr">
        <is>
          <t>69cab222cc0f2dc5e8040c26</t>
        </is>
      </c>
    </row>
    <row r="1290">
      <c r="A1290" t="inlineStr">
        <is>
          <t>Project Notos</t>
        </is>
      </c>
      <c r="B1290" t="inlineStr">
        <is>
          <t>4.2.1.3</t>
        </is>
      </c>
      <c r="C1290" s="15" t="inlineStr">
        <is>
          <t>IHE_TISAX Scope S5Z3KN assessment document_20.06.2027</t>
        </is>
      </c>
      <c r="D1290" s="20" t="inlineStr">
        <is>
          <t>Out-of-Scope</t>
        </is>
      </c>
      <c r="F1290" s="151">
        <f>HYPERLINK("https://app.global.datasite.com/webviewer/?projectId=696652ec0dc07cc02daa26a0&amp;documentId=69cab222cc0f2dc5e8040c27","IHE_TISAX Scope S5Z3KN assessment document_20.06.2027")</f>
        <v/>
      </c>
      <c r="G1290" t="inlineStr">
        <is>
          <t>DOCUMENT</t>
        </is>
      </c>
      <c r="H1290" t="inlineStr">
        <is>
          <t>pdf</t>
        </is>
      </c>
      <c r="I1290" t="inlineStr">
        <is>
          <t>DOWNLOAD</t>
        </is>
      </c>
      <c r="J1290" t="n">
        <v>0.10939979</v>
      </c>
      <c r="K1290" t="inlineStr">
        <is>
          <t>Unread</t>
        </is>
      </c>
      <c r="L1290" s="153" t="n">
        <v>46176.92764111111</v>
      </c>
      <c r="M1290" t="inlineStr">
        <is>
          <t>69cab222cc0f2dc5e8040c27</t>
        </is>
      </c>
    </row>
    <row r="1291">
      <c r="A1291" s="149" t="inlineStr">
        <is>
          <t>Project Notos</t>
        </is>
      </c>
      <c r="B1291" s="149" t="inlineStr">
        <is>
          <t>4.2.2</t>
        </is>
      </c>
      <c r="C1291" s="17" t="inlineStr">
        <is>
          <t>Plant Layout</t>
        </is>
      </c>
      <c r="D1291" s="25" t="n"/>
      <c r="F1291" s="150">
        <f>HYPERLINK("https://app.global.datasite.com/platform/container/696652ec0dc07cc02daa26a0/documents/content/index/6a193f527f247777b5a28d6c","Plant Layout")</f>
        <v/>
      </c>
      <c r="G1291" s="149" t="inlineStr">
        <is>
          <t>FOLDER</t>
        </is>
      </c>
      <c r="H1291" s="149" t="n"/>
      <c r="I1291" s="149" t="inlineStr">
        <is>
          <t>DOWNLOAD</t>
        </is>
      </c>
      <c r="J1291" s="149" t="n"/>
      <c r="K1291" s="149" t="inlineStr">
        <is>
          <t>Unread</t>
        </is>
      </c>
      <c r="L1291" s="152" t="n">
        <v>46176.92764111111</v>
      </c>
      <c r="M1291" s="149" t="inlineStr">
        <is>
          <t>6a193f527f247777b5a28d6c</t>
        </is>
      </c>
    </row>
    <row r="1292">
      <c r="A1292" t="inlineStr">
        <is>
          <t>Project Notos</t>
        </is>
      </c>
      <c r="B1292" t="inlineStr">
        <is>
          <t>4.2.2.1</t>
        </is>
      </c>
      <c r="C1292" s="15" t="inlineStr">
        <is>
          <t>IHE_Layout_20251029</t>
        </is>
      </c>
      <c r="D1292" s="20" t="inlineStr">
        <is>
          <t>Out-of-Scope</t>
        </is>
      </c>
      <c r="F1292" s="151">
        <f>HYPERLINK("https://app.global.datasite.com/webviewer/?projectId=696652ec0dc07cc02daa26a0&amp;documentId=6a193f5cffdf9a5c1c0b47f5","IHE_Layout_20251029")</f>
        <v/>
      </c>
      <c r="G1292" t="inlineStr">
        <is>
          <t>DOCUMENT</t>
        </is>
      </c>
      <c r="H1292" t="inlineStr">
        <is>
          <t>pdf</t>
        </is>
      </c>
      <c r="I1292" t="inlineStr">
        <is>
          <t>DOWNLOAD</t>
        </is>
      </c>
      <c r="J1292" t="n">
        <v>1.44609832</v>
      </c>
      <c r="K1292" t="inlineStr">
        <is>
          <t>Unread</t>
        </is>
      </c>
      <c r="L1292" s="153" t="n">
        <v>46176.92764111111</v>
      </c>
      <c r="M1292" t="inlineStr">
        <is>
          <t>6a193f5cffdf9a5c1c0b47f5</t>
        </is>
      </c>
    </row>
    <row r="1293">
      <c r="A1293" s="149" t="inlineStr">
        <is>
          <t>Project Notos</t>
        </is>
      </c>
      <c r="B1293" s="149" t="inlineStr">
        <is>
          <t>4.3</t>
        </is>
      </c>
      <c r="C1293" s="17" t="inlineStr">
        <is>
          <t>Rupert Fertinger (RF)</t>
        </is>
      </c>
      <c r="D1293" s="25" t="n"/>
      <c r="F1293" s="150">
        <f>HYPERLINK("https://app.global.datasite.com/platform/container/696652ec0dc07cc02daa26a0/documents/content/index/698cb75ff0199a4713d0c2e5","Rupert Fertinger (RF)")</f>
        <v/>
      </c>
      <c r="G1293" s="149" t="inlineStr">
        <is>
          <t>FOLDER</t>
        </is>
      </c>
      <c r="H1293" s="149" t="n"/>
      <c r="I1293" s="149" t="inlineStr">
        <is>
          <t>DOWNLOAD</t>
        </is>
      </c>
      <c r="J1293" s="149" t="n"/>
      <c r="K1293" s="149" t="inlineStr">
        <is>
          <t>Unread</t>
        </is>
      </c>
      <c r="L1293" s="152" t="n">
        <v>46176.92764111111</v>
      </c>
      <c r="M1293" s="149" t="inlineStr">
        <is>
          <t>698cb75ff0199a4713d0c2e5</t>
        </is>
      </c>
    </row>
    <row r="1294">
      <c r="A1294" s="149" t="inlineStr">
        <is>
          <t>Project Notos</t>
        </is>
      </c>
      <c r="B1294" s="149" t="inlineStr">
        <is>
          <t>4.3.1</t>
        </is>
      </c>
      <c r="C1294" s="17" t="inlineStr">
        <is>
          <t>Certifications</t>
        </is>
      </c>
      <c r="D1294" s="25" t="n"/>
      <c r="F1294" s="150">
        <f>HYPERLINK("https://app.global.datasite.com/platform/container/696652ec0dc07cc02daa26a0/documents/content/index/69cab4a3d8173ff1179d97ef","Certifications")</f>
        <v/>
      </c>
      <c r="G1294" s="149" t="inlineStr">
        <is>
          <t>FOLDER</t>
        </is>
      </c>
      <c r="H1294" s="149" t="n"/>
      <c r="I1294" s="149" t="inlineStr">
        <is>
          <t>DOWNLOAD</t>
        </is>
      </c>
      <c r="J1294" s="149" t="n"/>
      <c r="K1294" s="149" t="inlineStr">
        <is>
          <t>Unread</t>
        </is>
      </c>
      <c r="L1294" s="152" t="n">
        <v>46176.92764111111</v>
      </c>
      <c r="M1294" s="149" t="inlineStr">
        <is>
          <t>69cab4a3d8173ff1179d97ef</t>
        </is>
      </c>
    </row>
    <row r="1295">
      <c r="A1295" t="inlineStr">
        <is>
          <t>Project Notos</t>
        </is>
      </c>
      <c r="B1295" t="inlineStr">
        <is>
          <t>4.3.1.1</t>
        </is>
      </c>
      <c r="C1295" s="15" t="inlineStr">
        <is>
          <t>RF_IATF16_30950547 IATF16_EN</t>
        </is>
      </c>
      <c r="D1295" s="20" t="inlineStr">
        <is>
          <t>Out-of-Scope</t>
        </is>
      </c>
      <c r="F1295" s="151">
        <f>HYPERLINK("https://app.global.datasite.com/webviewer/?projectId=696652ec0dc07cc02daa26a0&amp;documentId=69cab4b3a55f36900f276060","RF_IATF16_30950547 IATF16_EN")</f>
        <v/>
      </c>
      <c r="G1295" t="inlineStr">
        <is>
          <t>DOCUMENT</t>
        </is>
      </c>
      <c r="H1295" t="inlineStr">
        <is>
          <t>pdf</t>
        </is>
      </c>
      <c r="I1295" t="inlineStr">
        <is>
          <t>DOWNLOAD</t>
        </is>
      </c>
      <c r="J1295" t="n">
        <v>0.06811714000000001</v>
      </c>
      <c r="K1295" t="inlineStr">
        <is>
          <t>Unread</t>
        </is>
      </c>
      <c r="L1295" s="153" t="n">
        <v>46176.92764111111</v>
      </c>
      <c r="M1295" t="inlineStr">
        <is>
          <t>69cab4b3a55f36900f276060</t>
        </is>
      </c>
    </row>
    <row r="1296">
      <c r="A1296" t="inlineStr">
        <is>
          <t>Project Notos</t>
        </is>
      </c>
      <c r="B1296" t="inlineStr">
        <is>
          <t>4.3.1.2</t>
        </is>
      </c>
      <c r="C1296" s="15" t="inlineStr">
        <is>
          <t>RF_QM15_30950547 QM15_EN</t>
        </is>
      </c>
      <c r="D1296" s="20" t="inlineStr">
        <is>
          <t>Out-of-Scope</t>
        </is>
      </c>
      <c r="F1296" s="151">
        <f>HYPERLINK("https://app.global.datasite.com/webviewer/?projectId=696652ec0dc07cc02daa26a0&amp;documentId=69cab4b3a55f36900f276061","RF_QM15_30950547 QM15_EN")</f>
        <v/>
      </c>
      <c r="G1296" t="inlineStr">
        <is>
          <t>DOCUMENT</t>
        </is>
      </c>
      <c r="H1296" t="inlineStr">
        <is>
          <t>pdf</t>
        </is>
      </c>
      <c r="I1296" t="inlineStr">
        <is>
          <t>DOWNLOAD</t>
        </is>
      </c>
      <c r="J1296" t="n">
        <v>0.06036281</v>
      </c>
      <c r="K1296" t="inlineStr">
        <is>
          <t>Unread</t>
        </is>
      </c>
      <c r="L1296" s="153" t="n">
        <v>46176.92764111111</v>
      </c>
      <c r="M1296" t="inlineStr">
        <is>
          <t>69cab4b3a55f36900f276061</t>
        </is>
      </c>
    </row>
    <row r="1297">
      <c r="A1297" t="inlineStr">
        <is>
          <t>Project Notos</t>
        </is>
      </c>
      <c r="B1297" t="inlineStr">
        <is>
          <t>4.3.1.3</t>
        </is>
      </c>
      <c r="C1297" s="15" t="inlineStr">
        <is>
          <t>RF_UM15_30950547-UM15_DE</t>
        </is>
      </c>
      <c r="D1297" s="20" t="inlineStr">
        <is>
          <t>Out-of-Scope</t>
        </is>
      </c>
      <c r="F1297" s="151">
        <f>HYPERLINK("https://app.global.datasite.com/webviewer/?projectId=696652ec0dc07cc02daa26a0&amp;documentId=69cab4b3a55f36900f276062","RF_UM15_30950547-UM15_DE")</f>
        <v/>
      </c>
      <c r="G1297" t="inlineStr">
        <is>
          <t>DOCUMENT</t>
        </is>
      </c>
      <c r="H1297" t="inlineStr">
        <is>
          <t>pdf</t>
        </is>
      </c>
      <c r="I1297" t="inlineStr">
        <is>
          <t>DOWNLOAD</t>
        </is>
      </c>
      <c r="J1297" t="n">
        <v>0.0646038</v>
      </c>
      <c r="K1297" t="inlineStr">
        <is>
          <t>Unread</t>
        </is>
      </c>
      <c r="L1297" s="153" t="n">
        <v>46176.92764111111</v>
      </c>
      <c r="M1297" t="inlineStr">
        <is>
          <t>69cab4b3a55f36900f276062</t>
        </is>
      </c>
    </row>
    <row r="1298">
      <c r="A1298" s="149" t="inlineStr">
        <is>
          <t>Project Notos</t>
        </is>
      </c>
      <c r="B1298" s="149" t="inlineStr">
        <is>
          <t>4.3.2</t>
        </is>
      </c>
      <c r="C1298" s="17" t="inlineStr">
        <is>
          <t>IT</t>
        </is>
      </c>
      <c r="D1298" s="25" t="n"/>
      <c r="F1298" s="150">
        <f>HYPERLINK("https://app.global.datasite.com/platform/container/696652ec0dc07cc02daa26a0/documents/content/index/69bd4fd47f48566a39cf8c2a","IT")</f>
        <v/>
      </c>
      <c r="G1298" s="149" t="inlineStr">
        <is>
          <t>FOLDER</t>
        </is>
      </c>
      <c r="H1298" s="149" t="n"/>
      <c r="I1298" s="149" t="inlineStr">
        <is>
          <t>DOWNLOAD</t>
        </is>
      </c>
      <c r="J1298" s="149" t="n"/>
      <c r="K1298" s="149" t="inlineStr">
        <is>
          <t>Unread</t>
        </is>
      </c>
      <c r="L1298" s="152" t="n">
        <v>46176.92764111111</v>
      </c>
      <c r="M1298" s="149" t="inlineStr">
        <is>
          <t>69bd4fd47f48566a39cf8c2a</t>
        </is>
      </c>
    </row>
    <row r="1299">
      <c r="A1299" t="inlineStr">
        <is>
          <t>Project Notos</t>
        </is>
      </c>
      <c r="B1299" t="inlineStr">
        <is>
          <t>4.3.2.1</t>
        </is>
      </c>
      <c r="C1299" s="15" t="inlineStr">
        <is>
          <t>RF_Immaterielle VG_251231</t>
        </is>
      </c>
      <c r="D1299" s="20" t="inlineStr">
        <is>
          <t>Out-of-Scope</t>
        </is>
      </c>
      <c r="F1299" s="151">
        <f>HYPERLINK("https://app.global.datasite.com/webviewer/?projectId=696652ec0dc07cc02daa26a0&amp;documentId=69e0b509c845873926cf2b62","RF_Immaterielle VG_251231")</f>
        <v/>
      </c>
      <c r="G1299" t="inlineStr">
        <is>
          <t>DOCUMENT</t>
        </is>
      </c>
      <c r="H1299" t="inlineStr">
        <is>
          <t>pdf</t>
        </is>
      </c>
      <c r="I1299" t="inlineStr">
        <is>
          <t>DOWNLOAD</t>
        </is>
      </c>
      <c r="J1299" t="n">
        <v>0.00981521</v>
      </c>
      <c r="K1299" t="inlineStr">
        <is>
          <t>Unread</t>
        </is>
      </c>
      <c r="L1299" s="153" t="n">
        <v>46176.92764111111</v>
      </c>
      <c r="M1299" t="inlineStr">
        <is>
          <t>69e0b509c845873926cf2b62</t>
        </is>
      </c>
    </row>
    <row r="1300">
      <c r="A1300" s="149" t="inlineStr">
        <is>
          <t>Project Notos</t>
        </is>
      </c>
      <c r="B1300" s="149" t="inlineStr">
        <is>
          <t>4.4</t>
        </is>
      </c>
      <c r="C1300" s="17" t="inlineStr">
        <is>
          <t>Fertinger Tubes (FT)</t>
        </is>
      </c>
      <c r="D1300" s="25" t="n"/>
      <c r="F1300" s="150">
        <f>HYPERLINK("https://app.global.datasite.com/platform/container/696652ec0dc07cc02daa26a0/documents/content/index/698cb75ff0199a4713d0c2e6","Fertinger Tubes (FT)")</f>
        <v/>
      </c>
      <c r="G1300" s="149" t="inlineStr">
        <is>
          <t>FOLDER</t>
        </is>
      </c>
      <c r="H1300" s="149" t="n"/>
      <c r="I1300" s="149" t="inlineStr">
        <is>
          <t>DOWNLOAD</t>
        </is>
      </c>
      <c r="J1300" s="149" t="n"/>
      <c r="K1300" s="149" t="inlineStr">
        <is>
          <t>Unread</t>
        </is>
      </c>
      <c r="L1300" s="152" t="n">
        <v>46176.92764111111</v>
      </c>
      <c r="M1300" s="149" t="inlineStr">
        <is>
          <t>698cb75ff0199a4713d0c2e6</t>
        </is>
      </c>
    </row>
    <row r="1301">
      <c r="A1301" s="149" t="inlineStr">
        <is>
          <t>Project Notos</t>
        </is>
      </c>
      <c r="B1301" s="149" t="inlineStr">
        <is>
          <t>4.4.1</t>
        </is>
      </c>
      <c r="C1301" s="17" t="inlineStr">
        <is>
          <t>Products</t>
        </is>
      </c>
      <c r="D1301" s="25" t="n"/>
      <c r="F1301" s="150">
        <f>HYPERLINK("https://app.global.datasite.com/platform/container/696652ec0dc07cc02daa26a0/documents/content/index/69ca875a8bca9003549a37d7","Products")</f>
        <v/>
      </c>
      <c r="G1301" s="149" t="inlineStr">
        <is>
          <t>FOLDER</t>
        </is>
      </c>
      <c r="H1301" s="149" t="n"/>
      <c r="I1301" s="149" t="inlineStr">
        <is>
          <t>DOWNLOAD</t>
        </is>
      </c>
      <c r="J1301" s="149" t="n"/>
      <c r="K1301" s="149" t="inlineStr">
        <is>
          <t>Unread</t>
        </is>
      </c>
      <c r="L1301" s="152" t="n">
        <v>46176.92764111111</v>
      </c>
      <c r="M1301" s="149" t="inlineStr">
        <is>
          <t>69ca875a8bca9003549a37d7</t>
        </is>
      </c>
    </row>
    <row r="1302">
      <c r="A1302" t="inlineStr">
        <is>
          <t>Project Notos</t>
        </is>
      </c>
      <c r="B1302" t="inlineStr">
        <is>
          <t>4.4.1.1</t>
        </is>
      </c>
      <c r="C1302" s="15" t="inlineStr">
        <is>
          <t>FT_Core Competencies</t>
        </is>
      </c>
      <c r="D1302" s="20" t="inlineStr">
        <is>
          <t>Out-of-Scope</t>
        </is>
      </c>
      <c r="F1302" s="151">
        <f>HYPERLINK("https://app.global.datasite.com/webviewer/?projectId=696652ec0dc07cc02daa26a0&amp;documentId=69ca88648fcb7339a2411ca8","FT_Core Competencies")</f>
        <v/>
      </c>
      <c r="G1302" t="inlineStr">
        <is>
          <t>DOCUMENT</t>
        </is>
      </c>
      <c r="H1302" t="inlineStr">
        <is>
          <t>docx</t>
        </is>
      </c>
      <c r="I1302" t="inlineStr">
        <is>
          <t>DOWNLOAD</t>
        </is>
      </c>
      <c r="J1302" t="n">
        <v>0.02087974</v>
      </c>
      <c r="K1302" t="inlineStr">
        <is>
          <t>Unread</t>
        </is>
      </c>
      <c r="L1302" s="153" t="n">
        <v>46176.92764111111</v>
      </c>
      <c r="M1302" t="inlineStr">
        <is>
          <t>69ca88648fcb7339a2411ca8</t>
        </is>
      </c>
    </row>
    <row r="1303">
      <c r="A1303" t="inlineStr">
        <is>
          <t>Project Notos</t>
        </is>
      </c>
      <c r="B1303" t="inlineStr">
        <is>
          <t>4.4.1.2</t>
        </is>
      </c>
      <c r="C1303" s="15" t="inlineStr">
        <is>
          <t>FT_Rohrliste_Product_list D</t>
        </is>
      </c>
      <c r="D1303" s="20" t="inlineStr">
        <is>
          <t>Out-of-Scope</t>
        </is>
      </c>
      <c r="F1303" s="151">
        <f>HYPERLINK("https://app.global.datasite.com/webviewer/?projectId=696652ec0dc07cc02daa26a0&amp;documentId=69ca88648fcb7339a2411ca9","FT_Rohrliste_Product_list D")</f>
        <v/>
      </c>
      <c r="G1303" t="inlineStr">
        <is>
          <t>DOCUMENT</t>
        </is>
      </c>
      <c r="H1303" t="inlineStr">
        <is>
          <t>pdf</t>
        </is>
      </c>
      <c r="I1303" t="inlineStr">
        <is>
          <t>DOWNLOAD</t>
        </is>
      </c>
      <c r="J1303" t="n">
        <v>0.23378658</v>
      </c>
      <c r="K1303" t="inlineStr">
        <is>
          <t>Unread</t>
        </is>
      </c>
      <c r="L1303" s="153" t="n">
        <v>46176.92764111111</v>
      </c>
      <c r="M1303" t="inlineStr">
        <is>
          <t>69ca88648fcb7339a2411ca9</t>
        </is>
      </c>
    </row>
    <row r="1304">
      <c r="A1304" t="inlineStr">
        <is>
          <t>Project Notos</t>
        </is>
      </c>
      <c r="B1304" t="inlineStr">
        <is>
          <t>4.4.1.3</t>
        </is>
      </c>
      <c r="C1304" s="15" t="inlineStr">
        <is>
          <t>FT_Rohrliste_Product_list DKR</t>
        </is>
      </c>
      <c r="D1304" s="20" t="inlineStr">
        <is>
          <t>Out-of-Scope</t>
        </is>
      </c>
      <c r="F1304" s="151">
        <f>HYPERLINK("https://app.global.datasite.com/webviewer/?projectId=696652ec0dc07cc02daa26a0&amp;documentId=69ca88648fcb7339a2411caa","FT_Rohrliste_Product_list DKR")</f>
        <v/>
      </c>
      <c r="G1304" t="inlineStr">
        <is>
          <t>DOCUMENT</t>
        </is>
      </c>
      <c r="H1304" t="inlineStr">
        <is>
          <t>pdf</t>
        </is>
      </c>
      <c r="I1304" t="inlineStr">
        <is>
          <t>DOWNLOAD</t>
        </is>
      </c>
      <c r="J1304" t="n">
        <v>0.22453784</v>
      </c>
      <c r="K1304" t="inlineStr">
        <is>
          <t>Unread</t>
        </is>
      </c>
      <c r="L1304" s="153" t="n">
        <v>46176.92764111111</v>
      </c>
      <c r="M1304" t="inlineStr">
        <is>
          <t>69ca88648fcb7339a2411caa</t>
        </is>
      </c>
    </row>
    <row r="1305">
      <c r="A1305" t="inlineStr">
        <is>
          <t>Project Notos</t>
        </is>
      </c>
      <c r="B1305" t="inlineStr">
        <is>
          <t>4.4.1.4</t>
        </is>
      </c>
      <c r="C1305" s="15" t="inlineStr">
        <is>
          <t>FT_Rohrliste_Product_list FR</t>
        </is>
      </c>
      <c r="D1305" s="20" t="inlineStr">
        <is>
          <t>Out-of-Scope</t>
        </is>
      </c>
      <c r="F1305" s="151">
        <f>HYPERLINK("https://app.global.datasite.com/webviewer/?projectId=696652ec0dc07cc02daa26a0&amp;documentId=69ca88648fcb7339a2411cab","FT_Rohrliste_Product_list FR")</f>
        <v/>
      </c>
      <c r="G1305" t="inlineStr">
        <is>
          <t>DOCUMENT</t>
        </is>
      </c>
      <c r="H1305" t="inlineStr">
        <is>
          <t>pdf</t>
        </is>
      </c>
      <c r="I1305" t="inlineStr">
        <is>
          <t>DOWNLOAD</t>
        </is>
      </c>
      <c r="J1305" t="n">
        <v>0.27860927</v>
      </c>
      <c r="K1305" t="inlineStr">
        <is>
          <t>Unread</t>
        </is>
      </c>
      <c r="L1305" s="153" t="n">
        <v>46176.92764111111</v>
      </c>
      <c r="M1305" t="inlineStr">
        <is>
          <t>69ca88648fcb7339a2411cab</t>
        </is>
      </c>
    </row>
    <row r="1306">
      <c r="A1306" t="inlineStr">
        <is>
          <t>Project Notos</t>
        </is>
      </c>
      <c r="B1306" t="inlineStr">
        <is>
          <t>4.4.1.5</t>
        </is>
      </c>
      <c r="C1306" s="15" t="inlineStr">
        <is>
          <t>FT_Rohrliste_Product_list RR</t>
        </is>
      </c>
      <c r="D1306" s="20" t="inlineStr">
        <is>
          <t>Out-of-Scope</t>
        </is>
      </c>
      <c r="F1306" s="151">
        <f>HYPERLINK("https://app.global.datasite.com/webviewer/?projectId=696652ec0dc07cc02daa26a0&amp;documentId=69ca88648fcb7339a2411cac","FT_Rohrliste_Product_list RR")</f>
        <v/>
      </c>
      <c r="G1306" t="inlineStr">
        <is>
          <t>DOCUMENT</t>
        </is>
      </c>
      <c r="H1306" t="inlineStr">
        <is>
          <t>pdf</t>
        </is>
      </c>
      <c r="I1306" t="inlineStr">
        <is>
          <t>DOWNLOAD</t>
        </is>
      </c>
      <c r="J1306" t="n">
        <v>0.22097396</v>
      </c>
      <c r="K1306" t="inlineStr">
        <is>
          <t>Unread</t>
        </is>
      </c>
      <c r="L1306" s="153" t="n">
        <v>46176.92764111111</v>
      </c>
      <c r="M1306" t="inlineStr">
        <is>
          <t>69ca88648fcb7339a2411cac</t>
        </is>
      </c>
    </row>
    <row r="1307">
      <c r="A1307" t="inlineStr">
        <is>
          <t>Project Notos</t>
        </is>
      </c>
      <c r="B1307" t="inlineStr">
        <is>
          <t>4.4.1.6</t>
        </is>
      </c>
      <c r="C1307" s="15" t="inlineStr">
        <is>
          <t>FT_Rohrliste_Product_list VR</t>
        </is>
      </c>
      <c r="D1307" s="20" t="inlineStr">
        <is>
          <t>Out-of-Scope</t>
        </is>
      </c>
      <c r="F1307" s="151">
        <f>HYPERLINK("https://app.global.datasite.com/webviewer/?projectId=696652ec0dc07cc02daa26a0&amp;documentId=69ca88648fcb7339a2411cad","FT_Rohrliste_Product_list VR")</f>
        <v/>
      </c>
      <c r="G1307" t="inlineStr">
        <is>
          <t>DOCUMENT</t>
        </is>
      </c>
      <c r="H1307" t="inlineStr">
        <is>
          <t>pdf</t>
        </is>
      </c>
      <c r="I1307" t="inlineStr">
        <is>
          <t>DOWNLOAD</t>
        </is>
      </c>
      <c r="J1307" t="n">
        <v>0.24162197</v>
      </c>
      <c r="K1307" t="inlineStr">
        <is>
          <t>Unread</t>
        </is>
      </c>
      <c r="L1307" s="153" t="n">
        <v>46176.92764111111</v>
      </c>
      <c r="M1307" t="inlineStr">
        <is>
          <t>69ca88648fcb7339a2411cad</t>
        </is>
      </c>
    </row>
    <row r="1308">
      <c r="A1308" t="inlineStr">
        <is>
          <t>Project Notos</t>
        </is>
      </c>
      <c r="B1308" t="inlineStr">
        <is>
          <t>4.4.1.7</t>
        </is>
      </c>
      <c r="C1308" s="15" t="inlineStr">
        <is>
          <t>FT_Rohrliste_Product_list VRR</t>
        </is>
      </c>
      <c r="D1308" s="20" t="inlineStr">
        <is>
          <t>Out-of-Scope</t>
        </is>
      </c>
      <c r="F1308" s="151">
        <f>HYPERLINK("https://app.global.datasite.com/webviewer/?projectId=696652ec0dc07cc02daa26a0&amp;documentId=69ca88648fcb7339a2411cae","FT_Rohrliste_Product_list VRR")</f>
        <v/>
      </c>
      <c r="G1308" t="inlineStr">
        <is>
          <t>DOCUMENT</t>
        </is>
      </c>
      <c r="H1308" t="inlineStr">
        <is>
          <t>pdf</t>
        </is>
      </c>
      <c r="I1308" t="inlineStr">
        <is>
          <t>DOWNLOAD</t>
        </is>
      </c>
      <c r="J1308" t="n">
        <v>0.23735141</v>
      </c>
      <c r="K1308" t="inlineStr">
        <is>
          <t>Unread</t>
        </is>
      </c>
      <c r="L1308" s="153" t="n">
        <v>46176.92764111111</v>
      </c>
      <c r="M1308" t="inlineStr">
        <is>
          <t>69ca88648fcb7339a2411cae</t>
        </is>
      </c>
    </row>
    <row r="1309">
      <c r="A1309" t="inlineStr">
        <is>
          <t>Project Notos</t>
        </is>
      </c>
      <c r="B1309" t="inlineStr">
        <is>
          <t>4.4.1.8</t>
        </is>
      </c>
      <c r="C1309" s="15" t="inlineStr">
        <is>
          <t>FT_Turbulator_Product_list SLA</t>
        </is>
      </c>
      <c r="D1309" s="20" t="inlineStr">
        <is>
          <t>Out-of-Scope</t>
        </is>
      </c>
      <c r="F1309" s="151">
        <f>HYPERLINK("https://app.global.datasite.com/webviewer/?projectId=696652ec0dc07cc02daa26a0&amp;documentId=69ca88648fcb7339a2411caf","FT_Turbulator_Product_list SLA")</f>
        <v/>
      </c>
      <c r="G1309" t="inlineStr">
        <is>
          <t>DOCUMENT</t>
        </is>
      </c>
      <c r="H1309" t="inlineStr">
        <is>
          <t>pdf</t>
        </is>
      </c>
      <c r="I1309" t="inlineStr">
        <is>
          <t>DOWNLOAD</t>
        </is>
      </c>
      <c r="J1309" t="n">
        <v>0.28523445</v>
      </c>
      <c r="K1309" t="inlineStr">
        <is>
          <t>Unread</t>
        </is>
      </c>
      <c r="L1309" s="153" t="n">
        <v>46176.92764111111</v>
      </c>
      <c r="M1309" t="inlineStr">
        <is>
          <t>69ca88648fcb7339a2411caf</t>
        </is>
      </c>
    </row>
    <row r="1310">
      <c r="A1310" s="149" t="inlineStr">
        <is>
          <t>Project Notos</t>
        </is>
      </c>
      <c r="B1310" s="149" t="inlineStr">
        <is>
          <t>4.4.2</t>
        </is>
      </c>
      <c r="C1310" s="17" t="inlineStr">
        <is>
          <t>Certifications</t>
        </is>
      </c>
      <c r="D1310" s="25" t="n"/>
      <c r="F1310" s="150">
        <f>HYPERLINK("https://app.global.datasite.com/platform/container/696652ec0dc07cc02daa26a0/documents/content/index/69cab428a55f36900f276051","Certifications")</f>
        <v/>
      </c>
      <c r="G1310" s="149" t="inlineStr">
        <is>
          <t>FOLDER</t>
        </is>
      </c>
      <c r="H1310" s="149" t="n"/>
      <c r="I1310" s="149" t="inlineStr">
        <is>
          <t>DOWNLOAD</t>
        </is>
      </c>
      <c r="J1310" s="149" t="n"/>
      <c r="K1310" s="149" t="inlineStr">
        <is>
          <t>Unread</t>
        </is>
      </c>
      <c r="L1310" s="152" t="n">
        <v>46176.92764111111</v>
      </c>
      <c r="M1310" s="149" t="inlineStr">
        <is>
          <t>69cab428a55f36900f276051</t>
        </is>
      </c>
    </row>
    <row r="1311">
      <c r="A1311" t="inlineStr">
        <is>
          <t>Project Notos</t>
        </is>
      </c>
      <c r="B1311" t="inlineStr">
        <is>
          <t>4.4.2.1</t>
        </is>
      </c>
      <c r="C1311" s="15" t="inlineStr">
        <is>
          <t>FT_EMSt21_30951930 EMSt21_DE</t>
        </is>
      </c>
      <c r="D1311" s="20" t="inlineStr">
        <is>
          <t>Out-of-Scope</t>
        </is>
      </c>
      <c r="F1311" s="151">
        <f>HYPERLINK("https://app.global.datasite.com/webviewer/?projectId=696652ec0dc07cc02daa26a0&amp;documentId=69cab43ca55f36900f276054","FT_EMSt21_30951930 EMSt21_DE")</f>
        <v/>
      </c>
      <c r="G1311" t="inlineStr">
        <is>
          <t>DOCUMENT</t>
        </is>
      </c>
      <c r="H1311" t="inlineStr">
        <is>
          <t>pdf</t>
        </is>
      </c>
      <c r="I1311" t="inlineStr">
        <is>
          <t>DOWNLOAD</t>
        </is>
      </c>
      <c r="J1311" t="n">
        <v>0.06284236</v>
      </c>
      <c r="K1311" t="inlineStr">
        <is>
          <t>Unread</t>
        </is>
      </c>
      <c r="L1311" s="153" t="n">
        <v>46176.92764111111</v>
      </c>
      <c r="M1311" t="inlineStr">
        <is>
          <t>69cab43ca55f36900f276054</t>
        </is>
      </c>
    </row>
    <row r="1312">
      <c r="A1312" t="inlineStr">
        <is>
          <t>Project Notos</t>
        </is>
      </c>
      <c r="B1312" t="inlineStr">
        <is>
          <t>4.4.2.2</t>
        </is>
      </c>
      <c r="C1312" s="15" t="inlineStr">
        <is>
          <t>FT_IATF16949_Main_DE</t>
        </is>
      </c>
      <c r="D1312" s="20" t="inlineStr">
        <is>
          <t>Out-of-Scope</t>
        </is>
      </c>
      <c r="F1312" s="151">
        <f>HYPERLINK("https://app.global.datasite.com/webviewer/?projectId=696652ec0dc07cc02daa26a0&amp;documentId=69cab43ca55f36900f276055","FT_IATF16949_Main_DE")</f>
        <v/>
      </c>
      <c r="G1312" t="inlineStr">
        <is>
          <t>DOCUMENT</t>
        </is>
      </c>
      <c r="H1312" t="inlineStr">
        <is>
          <t>pdf</t>
        </is>
      </c>
      <c r="I1312" t="inlineStr">
        <is>
          <t>DOWNLOAD</t>
        </is>
      </c>
      <c r="J1312" t="n">
        <v>0.09066963</v>
      </c>
      <c r="K1312" t="inlineStr">
        <is>
          <t>Unread</t>
        </is>
      </c>
      <c r="L1312" s="153" t="n">
        <v>46176.92764111111</v>
      </c>
      <c r="M1312" t="inlineStr">
        <is>
          <t>69cab43ca55f36900f276055</t>
        </is>
      </c>
    </row>
    <row r="1313">
      <c r="A1313" t="inlineStr">
        <is>
          <t>Project Notos</t>
        </is>
      </c>
      <c r="B1313" t="inlineStr">
        <is>
          <t>4.4.2.3</t>
        </is>
      </c>
      <c r="C1313" s="15" t="inlineStr">
        <is>
          <t>FT_UM15_30951930 UM15_DE</t>
        </is>
      </c>
      <c r="D1313" s="20" t="inlineStr">
        <is>
          <t>Out-of-Scope</t>
        </is>
      </c>
      <c r="F1313" s="151">
        <f>HYPERLINK("https://app.global.datasite.com/webviewer/?projectId=696652ec0dc07cc02daa26a0&amp;documentId=69cab43ca55f36900f276056","FT_UM15_30951930 UM15_DE")</f>
        <v/>
      </c>
      <c r="G1313" t="inlineStr">
        <is>
          <t>DOCUMENT</t>
        </is>
      </c>
      <c r="H1313" t="inlineStr">
        <is>
          <t>pdf</t>
        </is>
      </c>
      <c r="I1313" t="inlineStr">
        <is>
          <t>DOWNLOAD</t>
        </is>
      </c>
      <c r="J1313" t="n">
        <v>0.06091785</v>
      </c>
      <c r="K1313" t="inlineStr">
        <is>
          <t>Unread</t>
        </is>
      </c>
      <c r="L1313" s="153" t="n">
        <v>46176.92764111111</v>
      </c>
      <c r="M1313" t="inlineStr">
        <is>
          <t>69cab43ca55f36900f276056</t>
        </is>
      </c>
    </row>
    <row r="1314">
      <c r="A1314" t="inlineStr">
        <is>
          <t>Project Notos</t>
        </is>
      </c>
      <c r="B1314" t="inlineStr">
        <is>
          <t>4.4.2.4</t>
        </is>
      </c>
      <c r="C1314" s="15" t="inlineStr">
        <is>
          <t>FT_IATF16949_Main_EN</t>
        </is>
      </c>
      <c r="D1314" s="20" t="inlineStr">
        <is>
          <t>Out-of-Scope</t>
        </is>
      </c>
      <c r="F1314" s="151">
        <f>HYPERLINK("https://app.global.datasite.com/webviewer/?projectId=696652ec0dc07cc02daa26a0&amp;documentId=6a1ea97d6237fa337a17eeea","FT_IATF16949_Main_EN")</f>
        <v/>
      </c>
      <c r="G1314" t="inlineStr">
        <is>
          <t>DOCUMENT</t>
        </is>
      </c>
      <c r="H1314" t="inlineStr">
        <is>
          <t>pdf</t>
        </is>
      </c>
      <c r="I1314" t="inlineStr">
        <is>
          <t>DOWNLOAD</t>
        </is>
      </c>
      <c r="J1314" t="n">
        <v>0.08853816</v>
      </c>
      <c r="K1314" t="inlineStr">
        <is>
          <t>Unread</t>
        </is>
      </c>
      <c r="L1314" s="153" t="n">
        <v>46176.92764111111</v>
      </c>
      <c r="M1314" t="inlineStr">
        <is>
          <t>6a1ea97d6237fa337a17eeea</t>
        </is>
      </c>
    </row>
    <row r="1315">
      <c r="A1315" s="149" t="inlineStr">
        <is>
          <t>Project Notos</t>
        </is>
      </c>
      <c r="B1315" s="149" t="inlineStr">
        <is>
          <t>4.4.3</t>
        </is>
      </c>
      <c r="C1315" s="17" t="inlineStr">
        <is>
          <t>Plant Layout</t>
        </is>
      </c>
      <c r="D1315" s="25" t="n"/>
      <c r="F1315" s="150">
        <f>HYPERLINK("https://app.global.datasite.com/platform/container/696652ec0dc07cc02daa26a0/documents/content/index/6a193f9b8a1cab285e17837a","Plant Layout")</f>
        <v/>
      </c>
      <c r="G1315" s="149" t="inlineStr">
        <is>
          <t>FOLDER</t>
        </is>
      </c>
      <c r="H1315" s="149" t="n"/>
      <c r="I1315" s="149" t="inlineStr">
        <is>
          <t>DOWNLOAD</t>
        </is>
      </c>
      <c r="J1315" s="149" t="n"/>
      <c r="K1315" s="149" t="inlineStr">
        <is>
          <t>Unread</t>
        </is>
      </c>
      <c r="L1315" s="152" t="n">
        <v>46176.92764111111</v>
      </c>
      <c r="M1315" s="149" t="inlineStr">
        <is>
          <t>6a193f9b8a1cab285e17837a</t>
        </is>
      </c>
    </row>
    <row r="1316">
      <c r="A1316" t="inlineStr">
        <is>
          <t>Project Notos</t>
        </is>
      </c>
      <c r="B1316" t="inlineStr">
        <is>
          <t>4.4.3.1</t>
        </is>
      </c>
      <c r="C1316" s="15" t="inlineStr">
        <is>
          <t>Remscheid_Layout_20251210</t>
        </is>
      </c>
      <c r="D1316" s="20" t="inlineStr">
        <is>
          <t>Out-of-Scope</t>
        </is>
      </c>
      <c r="F1316" s="151">
        <f>HYPERLINK("https://app.global.datasite.com/webviewer/?projectId=696652ec0dc07cc02daa26a0&amp;documentId=6a193fd1b8cd7504bb89e497","Remscheid_Layout_20251210")</f>
        <v/>
      </c>
      <c r="G1316" t="inlineStr">
        <is>
          <t>DOCUMENT</t>
        </is>
      </c>
      <c r="H1316" t="inlineStr">
        <is>
          <t>pdf</t>
        </is>
      </c>
      <c r="I1316" t="inlineStr">
        <is>
          <t>DOWNLOAD</t>
        </is>
      </c>
      <c r="J1316" t="n">
        <v>1.43754863</v>
      </c>
      <c r="K1316" t="inlineStr">
        <is>
          <t>Unread</t>
        </is>
      </c>
      <c r="L1316" s="153" t="n">
        <v>46176.92764111111</v>
      </c>
      <c r="M1316" t="inlineStr">
        <is>
          <t>6a193fd1b8cd7504bb89e497</t>
        </is>
      </c>
    </row>
    <row r="1317">
      <c r="A1317" s="149" t="inlineStr">
        <is>
          <t>Project Notos</t>
        </is>
      </c>
      <c r="B1317" s="149" t="inlineStr">
        <is>
          <t>4.5</t>
        </is>
      </c>
      <c r="C1317" s="17" t="inlineStr">
        <is>
          <t>Innerio Group</t>
        </is>
      </c>
      <c r="D1317" s="25" t="n"/>
      <c r="F1317" s="150">
        <f>HYPERLINK("https://app.global.datasite.com/platform/container/696652ec0dc07cc02daa26a0/documents/content/index/69c690a2ce283fccb51a6b0d","Innerio Group")</f>
        <v/>
      </c>
      <c r="G1317" s="149" t="inlineStr">
        <is>
          <t>FOLDER</t>
        </is>
      </c>
      <c r="H1317" s="149" t="n"/>
      <c r="I1317" s="149" t="inlineStr">
        <is>
          <t>DOWNLOAD</t>
        </is>
      </c>
      <c r="J1317" s="149" t="n"/>
      <c r="K1317" s="149" t="inlineStr">
        <is>
          <t>Unread</t>
        </is>
      </c>
      <c r="L1317" s="152" t="n">
        <v>46176.92764111111</v>
      </c>
      <c r="M1317" s="149" t="inlineStr">
        <is>
          <t>69c690a2ce283fccb51a6b0d</t>
        </is>
      </c>
    </row>
    <row r="1318">
      <c r="A1318" s="149" t="inlineStr">
        <is>
          <t>Project Notos</t>
        </is>
      </c>
      <c r="B1318" s="149" t="inlineStr">
        <is>
          <t>4.5.1</t>
        </is>
      </c>
      <c r="C1318" s="17" t="inlineStr">
        <is>
          <t>IT</t>
        </is>
      </c>
      <c r="D1318" s="25" t="n"/>
      <c r="F1318" s="150">
        <f>HYPERLINK("https://app.global.datasite.com/platform/container/696652ec0dc07cc02daa26a0/documents/content/index/69dfc904c845873926ced76a","IT")</f>
        <v/>
      </c>
      <c r="G1318" s="149" t="inlineStr">
        <is>
          <t>FOLDER</t>
        </is>
      </c>
      <c r="H1318" s="149" t="n"/>
      <c r="I1318" s="149" t="inlineStr">
        <is>
          <t>DOWNLOAD</t>
        </is>
      </c>
      <c r="J1318" s="149" t="n"/>
      <c r="K1318" s="149" t="inlineStr">
        <is>
          <t>Unread</t>
        </is>
      </c>
      <c r="L1318" s="152" t="n">
        <v>46176.92764111111</v>
      </c>
      <c r="M1318" s="149" t="inlineStr">
        <is>
          <t>69dfc904c845873926ced76a</t>
        </is>
      </c>
    </row>
    <row r="1319">
      <c r="A1319" t="inlineStr">
        <is>
          <t>Project Notos</t>
        </is>
      </c>
      <c r="B1319" t="inlineStr">
        <is>
          <t>4.5.1.1</t>
        </is>
      </c>
      <c r="C1319" s="15" t="inlineStr">
        <is>
          <t>Hardware Software Connections IHE and RF</t>
        </is>
      </c>
      <c r="D1319" s="20" t="inlineStr">
        <is>
          <t>Out-of-Scope</t>
        </is>
      </c>
      <c r="F1319" s="151">
        <f>HYPERLINK("https://app.global.datasite.com/webviewer/?projectId=696652ec0dc07cc02daa26a0&amp;documentId=69dfc91d7a0ce9072ac5bb80","Hardware Software Connections IHE and RF")</f>
        <v/>
      </c>
      <c r="G1319" t="inlineStr">
        <is>
          <t>DOCUMENT</t>
        </is>
      </c>
      <c r="H1319" t="inlineStr">
        <is>
          <t>xlsx</t>
        </is>
      </c>
      <c r="I1319" t="inlineStr">
        <is>
          <t>DOWNLOAD</t>
        </is>
      </c>
      <c r="J1319" t="n">
        <v>0.01659393</v>
      </c>
      <c r="K1319" t="inlineStr">
        <is>
          <t>Unread</t>
        </is>
      </c>
      <c r="L1319" s="153" t="n">
        <v>46176.92764111111</v>
      </c>
      <c r="M1319" t="inlineStr">
        <is>
          <t>69dfc91d7a0ce9072ac5bb80</t>
        </is>
      </c>
    </row>
    <row r="1320">
      <c r="A1320" s="149" t="inlineStr">
        <is>
          <t>Project Notos</t>
        </is>
      </c>
      <c r="B1320" s="149" t="inlineStr">
        <is>
          <t>4.5.2</t>
        </is>
      </c>
      <c r="C1320" s="17" t="inlineStr">
        <is>
          <t>FTE_Headcount</t>
        </is>
      </c>
      <c r="D1320" s="25" t="n"/>
      <c r="F1320" s="150">
        <f>HYPERLINK("https://app.global.datasite.com/platform/container/696652ec0dc07cc02daa26a0/documents/content/index/6a10531ef9805939800aca92","FTE_Headcount")</f>
        <v/>
      </c>
      <c r="G1320" s="149" t="inlineStr">
        <is>
          <t>FOLDER</t>
        </is>
      </c>
      <c r="H1320" s="149" t="n"/>
      <c r="I1320" s="149" t="inlineStr">
        <is>
          <t>DOWNLOAD</t>
        </is>
      </c>
      <c r="J1320" s="149" t="n"/>
      <c r="K1320" s="149" t="inlineStr">
        <is>
          <t>Unread</t>
        </is>
      </c>
      <c r="L1320" s="152" t="n">
        <v>46176.92764111111</v>
      </c>
      <c r="M1320" s="149" t="inlineStr">
        <is>
          <t>6a10531ef9805939800aca92</t>
        </is>
      </c>
    </row>
    <row r="1321">
      <c r="A1321" t="inlineStr">
        <is>
          <t>Project Notos</t>
        </is>
      </c>
      <c r="B1321" t="inlineStr">
        <is>
          <t>4.5.2.1</t>
        </is>
      </c>
      <c r="C1321" s="15" t="inlineStr">
        <is>
          <t>Headcount_FTE_2023-2025</t>
        </is>
      </c>
      <c r="D1321" s="20" t="inlineStr">
        <is>
          <t>Out-of-Scope</t>
        </is>
      </c>
      <c r="F1321" s="151">
        <f>HYPERLINK("https://app.global.datasite.com/webviewer/?projectId=696652ec0dc07cc02daa26a0&amp;documentId=6a16958d309965def20d2ffd","Headcount_FTE_2023-2025")</f>
        <v/>
      </c>
      <c r="G1321" t="inlineStr">
        <is>
          <t>DOCUMENT</t>
        </is>
      </c>
      <c r="H1321" t="inlineStr">
        <is>
          <t>xlsx</t>
        </is>
      </c>
      <c r="I1321" t="inlineStr">
        <is>
          <t>DOWNLOAD</t>
        </is>
      </c>
      <c r="J1321" t="n">
        <v>0.37813186</v>
      </c>
      <c r="K1321" t="inlineStr">
        <is>
          <t>Unread</t>
        </is>
      </c>
      <c r="L1321" s="153" t="n">
        <v>46176.92764111111</v>
      </c>
      <c r="M1321" t="inlineStr">
        <is>
          <t>6a16958d309965def20d2ffd</t>
        </is>
      </c>
    </row>
    <row r="1322">
      <c r="A1322" t="inlineStr">
        <is>
          <t>Project Notos</t>
        </is>
      </c>
      <c r="B1322" t="inlineStr">
        <is>
          <t>4.5.2.2</t>
        </is>
      </c>
      <c r="C1322" s="15" t="inlineStr">
        <is>
          <t>List of employees, all entities</t>
        </is>
      </c>
      <c r="D1322" s="20" t="inlineStr">
        <is>
          <t>Out-of-Scope</t>
        </is>
      </c>
      <c r="F1322" s="151">
        <f>HYPERLINK("https://app.global.datasite.com/webviewer/?projectId=696652ec0dc07cc02daa26a0&amp;documentId=6a1d817bcffb5a2f0bc4d7ad","List of employees, all entities")</f>
        <v/>
      </c>
      <c r="G1322" t="inlineStr">
        <is>
          <t>DOCUMENT</t>
        </is>
      </c>
      <c r="H1322" t="inlineStr">
        <is>
          <t>xlsx</t>
        </is>
      </c>
      <c r="I1322" t="inlineStr">
        <is>
          <t>DOWNLOAD</t>
        </is>
      </c>
      <c r="J1322" t="n">
        <v>0.0308628</v>
      </c>
      <c r="K1322" t="inlineStr">
        <is>
          <t>Unread</t>
        </is>
      </c>
      <c r="L1322" s="153" t="n">
        <v>46176.92764111111</v>
      </c>
      <c r="M1322" t="inlineStr">
        <is>
          <t>6a1d817bcffb5a2f0bc4d7ad</t>
        </is>
      </c>
    </row>
    <row r="1323">
      <c r="A1323" t="inlineStr">
        <is>
          <t>Project Notos</t>
        </is>
      </c>
      <c r="B1323" t="inlineStr">
        <is>
          <t>4.5.2.3</t>
        </is>
      </c>
      <c r="C1323" s="15" t="inlineStr">
        <is>
          <t>Headcount_FTE_ Budget 2026</t>
        </is>
      </c>
      <c r="D1323" s="20" t="inlineStr">
        <is>
          <t>Out-of-Scope</t>
        </is>
      </c>
      <c r="F1323" s="151">
        <f>HYPERLINK("https://app.global.datasite.com/webviewer/?projectId=696652ec0dc07cc02daa26a0&amp;documentId=6a1daa978b6213186816af08","Headcount_FTE_ Budget 2026")</f>
        <v/>
      </c>
      <c r="G1323" t="inlineStr">
        <is>
          <t>DOCUMENT</t>
        </is>
      </c>
      <c r="H1323" t="inlineStr">
        <is>
          <t>xlsx</t>
        </is>
      </c>
      <c r="I1323" t="inlineStr">
        <is>
          <t>DOWNLOAD</t>
        </is>
      </c>
      <c r="J1323" t="n">
        <v>0.35582828</v>
      </c>
      <c r="K1323" t="inlineStr">
        <is>
          <t>Unread</t>
        </is>
      </c>
      <c r="L1323" s="153" t="n">
        <v>46176.92764111111</v>
      </c>
      <c r="M1323" t="inlineStr">
        <is>
          <t>6a1daa978b6213186816af08</t>
        </is>
      </c>
    </row>
    <row r="1324">
      <c r="A1324" t="inlineStr">
        <is>
          <t>Project Notos</t>
        </is>
      </c>
      <c r="B1324" t="inlineStr">
        <is>
          <t>4.5.2.4</t>
        </is>
      </c>
      <c r="C1324" s="15" t="inlineStr">
        <is>
          <t>Comment Headcount_FTE</t>
        </is>
      </c>
      <c r="D1324" s="20" t="inlineStr">
        <is>
          <t>Out-of-Scope</t>
        </is>
      </c>
      <c r="F1324" s="151">
        <f>HYPERLINK("https://app.global.datasite.com/webviewer/?projectId=696652ec0dc07cc02daa26a0&amp;documentId=6a1db08d1173c7f7a3c97315","Comment Headcount_FTE")</f>
        <v/>
      </c>
      <c r="G1324" t="inlineStr">
        <is>
          <t>DOCUMENT</t>
        </is>
      </c>
      <c r="H1324" t="inlineStr">
        <is>
          <t>txt</t>
        </is>
      </c>
      <c r="I1324" t="inlineStr">
        <is>
          <t>DOWNLOAD</t>
        </is>
      </c>
      <c r="J1324" t="n">
        <v>0.00010776</v>
      </c>
      <c r="K1324" t="inlineStr">
        <is>
          <t>Unread</t>
        </is>
      </c>
      <c r="L1324" s="153" t="n">
        <v>46176.92764111111</v>
      </c>
      <c r="M1324" t="inlineStr">
        <is>
          <t>6a1db08d1173c7f7a3c97315</t>
        </is>
      </c>
    </row>
    <row r="1325">
      <c r="A1325" s="154" t="inlineStr">
        <is>
          <t>Project Notos</t>
        </is>
      </c>
      <c r="B1325" s="154" t="inlineStr">
        <is>
          <t>4.5.2.5</t>
        </is>
      </c>
      <c r="C1325" s="155" t="inlineStr">
        <is>
          <t>Headcount_FTE_2026-2028</t>
        </is>
      </c>
      <c r="D1325" s="156" t="n"/>
      <c r="E1325" s="156" t="n"/>
      <c r="F1325" s="157">
        <f>HYPERLINK("https://app.global.datasite.com/webviewer/?projectId=696652ec0dc07cc02daa26a0&amp;documentId=6a467d1a0da1ee6a3b9af9a1","Headcount_FTE_2026-2028")</f>
        <v/>
      </c>
      <c r="G1325" s="154" t="inlineStr">
        <is>
          <t>DOCUMENT</t>
        </is>
      </c>
      <c r="H1325" s="154" t="inlineStr">
        <is>
          <t>xlsx</t>
        </is>
      </c>
      <c r="I1325" s="154" t="inlineStr">
        <is>
          <t>DOWNLOAD</t>
        </is>
      </c>
      <c r="J1325" s="154" t="n">
        <v>0.63588047</v>
      </c>
      <c r="K1325" s="154" t="inlineStr">
        <is>
          <t>Unread</t>
        </is>
      </c>
      <c r="L1325" s="158" t="n">
        <v>46205.70960174769</v>
      </c>
      <c r="M1325" s="154" t="inlineStr">
        <is>
          <t>6a467d1a0da1ee6a3b9af9a1</t>
        </is>
      </c>
    </row>
    <row r="1326">
      <c r="A1326" s="149" t="inlineStr">
        <is>
          <t>Project Notos</t>
        </is>
      </c>
      <c r="B1326" s="149" t="inlineStr">
        <is>
          <t>4.5.3</t>
        </is>
      </c>
      <c r="C1326" s="149" t="inlineStr">
        <is>
          <t>Production</t>
        </is>
      </c>
      <c r="D1326" s="149" t="n"/>
      <c r="F1326" s="150">
        <f>HYPERLINK("https://app.global.datasite.com/platform/container/696652ec0dc07cc02daa26a0/documents/content/index/6a26beccf5f563ab36abfe15","Production")</f>
        <v/>
      </c>
      <c r="G1326" s="149" t="inlineStr">
        <is>
          <t>FOLDER</t>
        </is>
      </c>
      <c r="H1326" s="149" t="n"/>
      <c r="I1326" s="149" t="inlineStr">
        <is>
          <t>DOWNLOAD</t>
        </is>
      </c>
      <c r="J1326" s="149" t="n"/>
      <c r="K1326" s="149" t="inlineStr">
        <is>
          <t>Unread</t>
        </is>
      </c>
      <c r="L1326" s="152" t="n">
        <v>46181.89849689815</v>
      </c>
      <c r="M1326" s="149" t="inlineStr">
        <is>
          <t>6a26beccf5f563ab36abfe15</t>
        </is>
      </c>
    </row>
    <row r="1327">
      <c r="A1327" t="inlineStr">
        <is>
          <t>Project Notos</t>
        </is>
      </c>
      <c r="B1327" t="inlineStr">
        <is>
          <t>4.5.3.1</t>
        </is>
      </c>
      <c r="C1327" t="inlineStr">
        <is>
          <t>Operational KPIs April 2026</t>
        </is>
      </c>
      <c r="D1327" s="20" t="inlineStr">
        <is>
          <t>Out-of-Scope</t>
        </is>
      </c>
      <c r="F1327" s="151">
        <f>HYPERLINK("https://app.global.datasite.com/webviewer/?projectId=696652ec0dc07cc02daa26a0&amp;documentId=6a26b912a94e69d9963fe078","Operational KPIs April 2026")</f>
        <v/>
      </c>
      <c r="G1327" t="inlineStr">
        <is>
          <t>DOCUMENT</t>
        </is>
      </c>
      <c r="H1327" t="inlineStr">
        <is>
          <t>pdf</t>
        </is>
      </c>
      <c r="I1327" t="inlineStr">
        <is>
          <t>DOWNLOAD</t>
        </is>
      </c>
      <c r="J1327" t="n">
        <v>1.46194553</v>
      </c>
      <c r="K1327" t="inlineStr">
        <is>
          <t>Unread</t>
        </is>
      </c>
      <c r="L1327" s="153" t="n">
        <v>46182.93804394676</v>
      </c>
      <c r="M1327" t="inlineStr">
        <is>
          <t>6a26b912a94e69d9963fe078</t>
        </is>
      </c>
    </row>
    <row r="1328">
      <c r="A1328" t="inlineStr">
        <is>
          <t>Project Notos</t>
        </is>
      </c>
      <c r="B1328" t="inlineStr">
        <is>
          <t>4.5.3.2</t>
        </is>
      </c>
      <c r="C1328" t="inlineStr">
        <is>
          <t>Process Flow_general</t>
        </is>
      </c>
      <c r="D1328" s="20" t="inlineStr">
        <is>
          <t>Out-of-Scope</t>
        </is>
      </c>
      <c r="F1328" s="151">
        <f>HYPERLINK("https://app.global.datasite.com/webviewer/?projectId=696652ec0dc07cc02daa26a0&amp;documentId=6a2715a6b2ad49f5e8f96824","Process Flow_general")</f>
        <v/>
      </c>
      <c r="G1328" t="inlineStr">
        <is>
          <t>DOCUMENT</t>
        </is>
      </c>
      <c r="H1328" t="inlineStr">
        <is>
          <t>pdf</t>
        </is>
      </c>
      <c r="I1328" t="inlineStr">
        <is>
          <t>DOWNLOAD</t>
        </is>
      </c>
      <c r="J1328" t="n">
        <v>0.1113367</v>
      </c>
      <c r="K1328" t="inlineStr">
        <is>
          <t>Unread</t>
        </is>
      </c>
      <c r="L1328" s="153" t="n">
        <v>46181.89849649306</v>
      </c>
      <c r="M1328" t="inlineStr">
        <is>
          <t>6a2715a6b2ad49f5e8f96824</t>
        </is>
      </c>
    </row>
    <row r="1329">
      <c r="A1329" t="inlineStr">
        <is>
          <t>Project Notos</t>
        </is>
      </c>
      <c r="B1329" t="inlineStr">
        <is>
          <t>4.5.3.3</t>
        </is>
      </c>
      <c r="C1329" t="inlineStr">
        <is>
          <t>Process Flow_COND_detailed</t>
        </is>
      </c>
      <c r="D1329" s="20" t="inlineStr">
        <is>
          <t>Out-of-Scope</t>
        </is>
      </c>
      <c r="F1329" s="151">
        <f>HYPERLINK("https://app.global.datasite.com/webviewer/?projectId=696652ec0dc07cc02daa26a0&amp;documentId=6a271321ebbb9579a9f63caf","Process Flow_COND_detailed")</f>
        <v/>
      </c>
      <c r="G1329" t="inlineStr">
        <is>
          <t>DOCUMENT</t>
        </is>
      </c>
      <c r="H1329" t="inlineStr">
        <is>
          <t>pdf</t>
        </is>
      </c>
      <c r="I1329" t="inlineStr">
        <is>
          <t>DOWNLOAD</t>
        </is>
      </c>
      <c r="J1329" t="n">
        <v>0.22667217</v>
      </c>
      <c r="K1329" t="inlineStr">
        <is>
          <t>Unread</t>
        </is>
      </c>
      <c r="L1329" s="153" t="n">
        <v>46181.90115947917</v>
      </c>
      <c r="M1329" t="inlineStr">
        <is>
          <t>6a271321ebbb9579a9f63caf</t>
        </is>
      </c>
    </row>
    <row r="1330">
      <c r="A1330" t="inlineStr">
        <is>
          <t>Project Notos</t>
        </is>
      </c>
      <c r="B1330" t="inlineStr">
        <is>
          <t>4.5.3.4</t>
        </is>
      </c>
      <c r="C1330" t="inlineStr">
        <is>
          <t>CT_Manning</t>
        </is>
      </c>
      <c r="D1330" s="20" t="inlineStr">
        <is>
          <t>Out-of-Scope</t>
        </is>
      </c>
      <c r="F1330" s="151">
        <f>HYPERLINK("https://app.global.datasite.com/webviewer/?projectId=696652ec0dc07cc02daa26a0&amp;documentId=6a2714fd826f2e78aee65d62","CT_Manning")</f>
        <v/>
      </c>
      <c r="G1330" t="inlineStr">
        <is>
          <t>DOCUMENT</t>
        </is>
      </c>
      <c r="H1330" t="inlineStr">
        <is>
          <t>xlsx</t>
        </is>
      </c>
      <c r="I1330" t="inlineStr">
        <is>
          <t>DOWNLOAD</t>
        </is>
      </c>
      <c r="J1330" t="n">
        <v>0.03034877</v>
      </c>
      <c r="K1330" t="inlineStr">
        <is>
          <t>Unread</t>
        </is>
      </c>
      <c r="L1330" s="153" t="n">
        <v>46182.93804394676</v>
      </c>
      <c r="M1330" t="inlineStr">
        <is>
          <t>6a2714fd826f2e78aee65d62</t>
        </is>
      </c>
    </row>
    <row r="1331">
      <c r="A1331" s="149" t="inlineStr">
        <is>
          <t>Project Notos</t>
        </is>
      </c>
      <c r="B1331" s="149" t="inlineStr">
        <is>
          <t>4.5.4</t>
        </is>
      </c>
      <c r="C1331" s="149" t="inlineStr">
        <is>
          <t>Products</t>
        </is>
      </c>
      <c r="D1331" s="149" t="n"/>
      <c r="F1331" s="150" t="n">
        <v>0</v>
      </c>
      <c r="G1331" s="149" t="inlineStr">
        <is>
          <t>FOLDER</t>
        </is>
      </c>
      <c r="H1331" s="149" t="n"/>
      <c r="I1331" s="149" t="inlineStr">
        <is>
          <t>DOWNLOAD</t>
        </is>
      </c>
      <c r="J1331" s="149" t="n"/>
      <c r="K1331" s="149" t="inlineStr">
        <is>
          <t>Unread</t>
        </is>
      </c>
      <c r="L1331" s="152" t="n">
        <v>46182.6637678125</v>
      </c>
      <c r="M1331" s="149" t="inlineStr">
        <is>
          <t>6a270c77481d4ded4b56cbe8</t>
        </is>
      </c>
    </row>
    <row r="1332">
      <c r="A1332" t="inlineStr">
        <is>
          <t>Project Notos</t>
        </is>
      </c>
      <c r="B1332" t="inlineStr">
        <is>
          <t>4.5.4.1</t>
        </is>
      </c>
      <c r="C1332" t="inlineStr">
        <is>
          <t>Product Specifications</t>
        </is>
      </c>
      <c r="D1332" s="20" t="inlineStr">
        <is>
          <t>Out-of-Scope</t>
        </is>
      </c>
      <c r="F1332" s="151" t="n">
        <v>0</v>
      </c>
      <c r="G1332" t="inlineStr">
        <is>
          <t>DOCUMENT</t>
        </is>
      </c>
      <c r="H1332" t="inlineStr">
        <is>
          <t>pdf</t>
        </is>
      </c>
      <c r="I1332" t="inlineStr">
        <is>
          <t>DOWNLOAD</t>
        </is>
      </c>
      <c r="J1332" t="n">
        <v>2.16558933</v>
      </c>
      <c r="K1332" t="inlineStr">
        <is>
          <t>Unread</t>
        </is>
      </c>
      <c r="L1332" s="153" t="n">
        <v>46182.66376734954</v>
      </c>
      <c r="M1332" t="inlineStr">
        <is>
          <t>6a27111a481d4ded4b56cde5</t>
        </is>
      </c>
    </row>
    <row r="1333">
      <c r="A1333" t="inlineStr">
        <is>
          <t>Project Notos</t>
        </is>
      </c>
      <c r="B1333" t="inlineStr">
        <is>
          <t>4.5.4.2</t>
        </is>
      </c>
      <c r="C1333" t="inlineStr">
        <is>
          <t>Bill of Materials_example_CAC</t>
        </is>
      </c>
      <c r="D1333" s="20" t="inlineStr">
        <is>
          <t>Out-of-Scope</t>
        </is>
      </c>
      <c r="F1333" s="151" t="n">
        <v>0</v>
      </c>
      <c r="G1333" t="inlineStr">
        <is>
          <t>DOCUMENT</t>
        </is>
      </c>
      <c r="H1333" t="inlineStr">
        <is>
          <t>pdf</t>
        </is>
      </c>
      <c r="I1333" t="inlineStr">
        <is>
          <t>DOWNLOAD</t>
        </is>
      </c>
      <c r="J1333" t="n">
        <v>0.07015895</v>
      </c>
      <c r="K1333" t="inlineStr">
        <is>
          <t>Unread</t>
        </is>
      </c>
      <c r="L1333" s="153" t="n">
        <v>46182.93657917824</v>
      </c>
      <c r="M1333" t="inlineStr">
        <is>
          <t>6a2712f5481d4ded4b56ce5a</t>
        </is>
      </c>
    </row>
    <row r="1334">
      <c r="A1334" s="149" t="inlineStr">
        <is>
          <t>Project Notos</t>
        </is>
      </c>
      <c r="B1334" s="149" t="inlineStr">
        <is>
          <t>4.5.5</t>
        </is>
      </c>
      <c r="C1334" s="149" t="inlineStr">
        <is>
          <t>Organization</t>
        </is>
      </c>
      <c r="D1334" s="149" t="n"/>
      <c r="F1334" s="150" t="n">
        <v>0</v>
      </c>
      <c r="G1334" s="149" t="inlineStr">
        <is>
          <t>FOLDER</t>
        </is>
      </c>
      <c r="H1334" s="149" t="n"/>
      <c r="I1334" s="149" t="inlineStr">
        <is>
          <t>DOWNLOAD</t>
        </is>
      </c>
      <c r="J1334" s="149" t="n"/>
      <c r="K1334" s="149" t="inlineStr">
        <is>
          <t>Unread</t>
        </is>
      </c>
      <c r="L1334" s="152" t="n">
        <v>46190.83524342593</v>
      </c>
      <c r="M1334" s="149" t="inlineStr">
        <is>
          <t>6a32bc6689742daf4ff0b931</t>
        </is>
      </c>
    </row>
    <row r="1335">
      <c r="A1335" t="inlineStr">
        <is>
          <t>Project Notos</t>
        </is>
      </c>
      <c r="B1335" t="inlineStr">
        <is>
          <t>4.5.5.1</t>
        </is>
      </c>
      <c r="C1335" t="inlineStr">
        <is>
          <t>Organizational Chart</t>
        </is>
      </c>
      <c r="D1335" s="20" t="inlineStr">
        <is>
          <t>Out-of-Scope</t>
        </is>
      </c>
      <c r="F1335" s="151" t="n">
        <v>0</v>
      </c>
      <c r="G1335" t="inlineStr">
        <is>
          <t>DOCUMENT</t>
        </is>
      </c>
      <c r="H1335" t="inlineStr">
        <is>
          <t>xlsx</t>
        </is>
      </c>
      <c r="I1335" t="inlineStr">
        <is>
          <t>DOWNLOAD</t>
        </is>
      </c>
      <c r="J1335" t="n">
        <v>1.15178012</v>
      </c>
      <c r="K1335" t="inlineStr">
        <is>
          <t>Unread</t>
        </is>
      </c>
      <c r="L1335" s="153" t="n">
        <v>46190.83524342593</v>
      </c>
      <c r="M1335" t="inlineStr">
        <is>
          <t>6a32bc9991df99ec83f1d98e</t>
        </is>
      </c>
    </row>
    <row r="1336">
      <c r="A1336" t="inlineStr">
        <is>
          <t>Project Notos</t>
        </is>
      </c>
      <c r="B1336" t="inlineStr">
        <is>
          <t>4.5.5.2</t>
        </is>
      </c>
      <c r="C1336" t="inlineStr">
        <is>
          <t>Delegation of Approval (example)</t>
        </is>
      </c>
      <c r="D1336" s="20" t="inlineStr">
        <is>
          <t>Out-of-Scope</t>
        </is>
      </c>
      <c r="F1336" s="151" t="n">
        <v>0</v>
      </c>
      <c r="G1336" t="inlineStr">
        <is>
          <t>DOCUMENT</t>
        </is>
      </c>
      <c r="H1336" t="inlineStr">
        <is>
          <t>xlsx</t>
        </is>
      </c>
      <c r="I1336" t="inlineStr">
        <is>
          <t>DOWNLOAD</t>
        </is>
      </c>
      <c r="J1336" t="n">
        <v>1.042346</v>
      </c>
      <c r="K1336" t="inlineStr">
        <is>
          <t>Unread</t>
        </is>
      </c>
      <c r="L1336" s="153" t="n">
        <v>46190.83524342593</v>
      </c>
      <c r="M1336" t="inlineStr">
        <is>
          <t>6a32bea50da614c011c4f31f</t>
        </is>
      </c>
    </row>
    <row r="1337">
      <c r="A1337" s="154" t="inlineStr">
        <is>
          <t>Project Notos</t>
        </is>
      </c>
      <c r="B1337" s="154" t="inlineStr">
        <is>
          <t>4.5.5.3</t>
        </is>
      </c>
      <c r="C1337" s="155" t="inlineStr">
        <is>
          <t>Restructuring</t>
        </is>
      </c>
      <c r="D1337" s="156" t="n"/>
      <c r="E1337" s="156" t="n"/>
      <c r="F1337" s="157">
        <f>HYPERLINK("https://app.global.datasite.com/platform/container/696652ec0dc07cc02daa26a0/documents/content/index/6a3d2f39df403c5ca768861d","Restructuring")</f>
        <v/>
      </c>
      <c r="G1337" s="154" t="inlineStr">
        <is>
          <t>FOLDER</t>
        </is>
      </c>
      <c r="H1337" s="154" t="n"/>
      <c r="I1337" s="154" t="inlineStr">
        <is>
          <t>DOWNLOAD</t>
        </is>
      </c>
      <c r="J1337" s="154" t="n"/>
      <c r="K1337" s="154" t="inlineStr">
        <is>
          <t>Unread</t>
        </is>
      </c>
      <c r="L1337" s="158" t="n">
        <v>46198.73268916667</v>
      </c>
      <c r="M1337" s="154" t="inlineStr">
        <is>
          <t>6a3d2f39df403c5ca768861d</t>
        </is>
      </c>
    </row>
    <row r="1338">
      <c r="A1338" s="154" t="inlineStr">
        <is>
          <t>Project Notos</t>
        </is>
      </c>
      <c r="B1338" s="154" t="inlineStr">
        <is>
          <t>4.5.5.3.1</t>
        </is>
      </c>
      <c r="C1338" s="155" t="inlineStr">
        <is>
          <t>Relocation Summary_06.2026</t>
        </is>
      </c>
      <c r="D1338" s="156" t="n"/>
      <c r="E1338" s="156" t="n"/>
      <c r="F1338" s="157">
        <f>HYPERLINK("https://app.global.datasite.com/webviewer/?projectId=696652ec0dc07cc02daa26a0&amp;documentId=6a3d2ffdd3e46919af316eaf","Relocation Summary_06.2026")</f>
        <v/>
      </c>
      <c r="G1338" s="154" t="inlineStr">
        <is>
          <t>DOCUMENT</t>
        </is>
      </c>
      <c r="H1338" s="154" t="inlineStr">
        <is>
          <t>pdf</t>
        </is>
      </c>
      <c r="I1338" s="154" t="inlineStr">
        <is>
          <t>DOWNLOAD</t>
        </is>
      </c>
      <c r="J1338" s="154" t="n">
        <v>0.37760639</v>
      </c>
      <c r="K1338" s="154" t="inlineStr">
        <is>
          <t>Unread</t>
        </is>
      </c>
      <c r="L1338" s="158" t="n">
        <v>46198.73268916667</v>
      </c>
      <c r="M1338" s="154" t="inlineStr">
        <is>
          <t>6a3d2ffdd3e46919af316eaf</t>
        </is>
      </c>
    </row>
    <row r="1339">
      <c r="A1339" s="154" t="inlineStr">
        <is>
          <t>Project Notos</t>
        </is>
      </c>
      <c r="B1339" s="154" t="inlineStr">
        <is>
          <t>4.5.5.4</t>
        </is>
      </c>
      <c r="C1339" s="155" t="inlineStr">
        <is>
          <t>Utility_Infrastructure</t>
        </is>
      </c>
      <c r="D1339" s="156" t="n"/>
      <c r="E1339" s="156" t="n"/>
      <c r="F1339" s="157">
        <f>HYPERLINK("https://app.global.datasite.com/webviewer/?projectId=696652ec0dc07cc02daa26a0&amp;documentId=6a468bdf141dcd6e002bf542","Utility_Infrastructure")</f>
        <v/>
      </c>
      <c r="G1339" s="154" t="inlineStr">
        <is>
          <t>DOCUMENT</t>
        </is>
      </c>
      <c r="H1339" s="154" t="inlineStr">
        <is>
          <t>xlsx</t>
        </is>
      </c>
      <c r="I1339" s="154" t="inlineStr">
        <is>
          <t>DOWNLOAD</t>
        </is>
      </c>
      <c r="J1339" s="154" t="n">
        <v>0.01048851</v>
      </c>
      <c r="K1339" s="154" t="inlineStr">
        <is>
          <t>Unread</t>
        </is>
      </c>
      <c r="L1339" s="158" t="n">
        <v>46205.75939824074</v>
      </c>
      <c r="M1339" s="154" t="inlineStr">
        <is>
          <t>6a468bdf141dcd6e002bf542</t>
        </is>
      </c>
    </row>
    <row r="1340">
      <c r="A1340" s="149" t="inlineStr">
        <is>
          <t>Project Notos</t>
        </is>
      </c>
      <c r="B1340" s="149" t="inlineStr">
        <is>
          <t>4.5.6</t>
        </is>
      </c>
      <c r="C1340" s="149" t="inlineStr">
        <is>
          <t>R&amp;D_Development</t>
        </is>
      </c>
      <c r="D1340" s="149" t="n"/>
      <c r="F1340" s="150" t="n">
        <v>0</v>
      </c>
      <c r="G1340" s="149" t="inlineStr">
        <is>
          <t>FOLDER</t>
        </is>
      </c>
      <c r="H1340" s="149" t="n"/>
      <c r="I1340" s="149" t="inlineStr">
        <is>
          <t>DOWNLOAD</t>
        </is>
      </c>
      <c r="J1340" s="149" t="n"/>
      <c r="K1340" s="149" t="inlineStr">
        <is>
          <t>Unread</t>
        </is>
      </c>
      <c r="L1340" s="152" t="n">
        <v>46190.82610041666</v>
      </c>
      <c r="M1340" s="149" t="inlineStr">
        <is>
          <t>6a32dd902992e2b905530884</t>
        </is>
      </c>
    </row>
    <row r="1341">
      <c r="A1341" t="inlineStr">
        <is>
          <t>Project Notos</t>
        </is>
      </c>
      <c r="B1341" t="inlineStr">
        <is>
          <t>4.5.6.1</t>
        </is>
      </c>
      <c r="C1341" t="inlineStr">
        <is>
          <t>Lab Equipment</t>
        </is>
      </c>
      <c r="D1341" s="20" t="inlineStr">
        <is>
          <t>Out-of-Scope</t>
        </is>
      </c>
      <c r="F1341" s="151" t="n">
        <v>0</v>
      </c>
      <c r="G1341" t="inlineStr">
        <is>
          <t>DOCUMENT</t>
        </is>
      </c>
      <c r="H1341" t="inlineStr">
        <is>
          <t>xlsx</t>
        </is>
      </c>
      <c r="I1341" t="inlineStr">
        <is>
          <t>DOWNLOAD</t>
        </is>
      </c>
      <c r="J1341" t="n">
        <v>9.337276449999999</v>
      </c>
      <c r="K1341" t="inlineStr">
        <is>
          <t>Unread</t>
        </is>
      </c>
      <c r="L1341" s="153" t="n">
        <v>46190.82610005787</v>
      </c>
      <c r="M1341" t="inlineStr">
        <is>
          <t>6a32bdb1a9479fc89542c891</t>
        </is>
      </c>
    </row>
    <row r="1342">
      <c r="A1342" t="inlineStr">
        <is>
          <t>Project Notos</t>
        </is>
      </c>
      <c r="B1342" t="inlineStr">
        <is>
          <t>4.5.6.2</t>
        </is>
      </c>
      <c r="C1342" t="inlineStr">
        <is>
          <t>R&amp;D Activities by Product</t>
        </is>
      </c>
      <c r="D1342" s="20" t="inlineStr">
        <is>
          <t>Out-of-Scope</t>
        </is>
      </c>
      <c r="F1342" s="151" t="n">
        <v>0</v>
      </c>
      <c r="G1342" t="inlineStr">
        <is>
          <t>DOCUMENT</t>
        </is>
      </c>
      <c r="H1342" t="inlineStr">
        <is>
          <t>xlsx</t>
        </is>
      </c>
      <c r="I1342" t="inlineStr">
        <is>
          <t>DOWNLOAD</t>
        </is>
      </c>
      <c r="J1342" t="n">
        <v>0.60083675</v>
      </c>
      <c r="K1342" t="inlineStr">
        <is>
          <t>Unread</t>
        </is>
      </c>
      <c r="L1342" s="153" t="n">
        <v>46190.83972100695</v>
      </c>
      <c r="M1342" t="inlineStr">
        <is>
          <t>6a32de36a9479fc89542d726</t>
        </is>
      </c>
    </row>
    <row r="1343">
      <c r="A1343" t="inlineStr">
        <is>
          <t>Project Notos</t>
        </is>
      </c>
      <c r="B1343" t="inlineStr">
        <is>
          <t>4.5.6.3</t>
        </is>
      </c>
      <c r="C1343" t="inlineStr">
        <is>
          <t>Origami Design</t>
        </is>
      </c>
      <c r="D1343" s="20" t="inlineStr">
        <is>
          <t>Out-of-Scope</t>
        </is>
      </c>
      <c r="F1343" s="151" t="n">
        <v>0</v>
      </c>
      <c r="G1343" t="inlineStr">
        <is>
          <t>DOCUMENT</t>
        </is>
      </c>
      <c r="H1343" t="inlineStr">
        <is>
          <t>xlsx</t>
        </is>
      </c>
      <c r="I1343" t="inlineStr">
        <is>
          <t>DOWNLOAD</t>
        </is>
      </c>
      <c r="J1343" t="n">
        <v>0.58541107</v>
      </c>
      <c r="K1343" t="inlineStr">
        <is>
          <t>Unread</t>
        </is>
      </c>
      <c r="L1343" s="153" t="n">
        <v>46192.51575678241</v>
      </c>
      <c r="M1343" t="inlineStr">
        <is>
          <t>6a34f7dc319d689ab10ee0ac</t>
        </is>
      </c>
    </row>
    <row r="1344">
      <c r="A1344" s="154" t="inlineStr">
        <is>
          <t>Project Notos</t>
        </is>
      </c>
      <c r="B1344" s="154" t="inlineStr">
        <is>
          <t>4.5.7</t>
        </is>
      </c>
      <c r="C1344" s="155" t="inlineStr">
        <is>
          <t>Quality</t>
        </is>
      </c>
      <c r="D1344" s="156" t="n"/>
      <c r="E1344" s="156" t="n"/>
      <c r="F1344" s="157">
        <f>HYPERLINK("https://app.global.datasite.com/platform/container/696652ec0dc07cc02daa26a0/documents/content/index/6a46886b71f7dc77602738cb","Quality")</f>
        <v/>
      </c>
      <c r="G1344" s="154" t="inlineStr">
        <is>
          <t>FOLDER</t>
        </is>
      </c>
      <c r="H1344" s="154" t="n"/>
      <c r="I1344" s="154" t="inlineStr">
        <is>
          <t>DOWNLOAD</t>
        </is>
      </c>
      <c r="J1344" s="154" t="n"/>
      <c r="K1344" s="154" t="inlineStr">
        <is>
          <t>Unread</t>
        </is>
      </c>
      <c r="L1344" s="158" t="n">
        <v>46205.74813354167</v>
      </c>
      <c r="M1344" s="154" t="inlineStr">
        <is>
          <t>6a46886b71f7dc77602738cb</t>
        </is>
      </c>
    </row>
    <row r="1345">
      <c r="A1345" s="154" t="inlineStr">
        <is>
          <t>Project Notos</t>
        </is>
      </c>
      <c r="B1345" s="154" t="inlineStr">
        <is>
          <t>4.5.7.1</t>
        </is>
      </c>
      <c r="C1345" s="155" t="inlineStr">
        <is>
          <t>Programm Management Prozess_SP02-07</t>
        </is>
      </c>
      <c r="D1345" s="156" t="n"/>
      <c r="E1345" s="156" t="n"/>
      <c r="F1345" s="157">
        <f>HYPERLINK("https://app.global.datasite.com/webviewer/?projectId=696652ec0dc07cc02daa26a0&amp;documentId=6a46894e3c4a87058cac6e86","Programm Management Prozess_SP02-07")</f>
        <v/>
      </c>
      <c r="G1345" s="154" t="inlineStr">
        <is>
          <t>DOCUMENT</t>
        </is>
      </c>
      <c r="H1345" s="154" t="inlineStr">
        <is>
          <t>pdf</t>
        </is>
      </c>
      <c r="I1345" s="154" t="inlineStr">
        <is>
          <t>DOWNLOAD</t>
        </is>
      </c>
      <c r="J1345" s="154" t="n">
        <v>0.26616859</v>
      </c>
      <c r="K1345" s="154" t="inlineStr">
        <is>
          <t>Unread</t>
        </is>
      </c>
      <c r="L1345" s="158" t="n">
        <v>46205.74813354167</v>
      </c>
      <c r="M1345" s="154" t="inlineStr">
        <is>
          <t>6a46894e3c4a87058cac6e86</t>
        </is>
      </c>
    </row>
    <row r="1346">
      <c r="A1346" s="154" t="inlineStr">
        <is>
          <t>Project Notos</t>
        </is>
      </c>
      <c r="B1346" s="154" t="inlineStr">
        <is>
          <t>4.5.7.2</t>
        </is>
      </c>
      <c r="C1346" s="155" t="inlineStr">
        <is>
          <t>PDP-PR-01 Product design and development process</t>
        </is>
      </c>
      <c r="D1346" s="156" t="n"/>
      <c r="E1346" s="156" t="n"/>
      <c r="F1346" s="157">
        <f>HYPERLINK("https://app.global.datasite.com/webviewer/?projectId=696652ec0dc07cc02daa26a0&amp;documentId=6a468962827807820daee35a","PDP-PR-01 Product design and development process")</f>
        <v/>
      </c>
      <c r="G1346" s="154" t="inlineStr">
        <is>
          <t>DOCUMENT</t>
        </is>
      </c>
      <c r="H1346" s="154" t="inlineStr">
        <is>
          <t>pdf</t>
        </is>
      </c>
      <c r="I1346" s="154" t="inlineStr">
        <is>
          <t>DOWNLOAD</t>
        </is>
      </c>
      <c r="J1346" s="154" t="n">
        <v>7.55470657</v>
      </c>
      <c r="K1346" s="154" t="inlineStr">
        <is>
          <t>Unread</t>
        </is>
      </c>
      <c r="L1346" s="158" t="n">
        <v>46205.74813354167</v>
      </c>
      <c r="M1346" s="154" t="inlineStr">
        <is>
          <t>6a468962827807820daee35a</t>
        </is>
      </c>
    </row>
    <row r="1347">
      <c r="A1347" s="154" t="inlineStr">
        <is>
          <t>Project Notos</t>
        </is>
      </c>
      <c r="B1347" s="154" t="inlineStr">
        <is>
          <t>4.5.7.3</t>
        </is>
      </c>
      <c r="C1347" s="155" t="inlineStr">
        <is>
          <t>QS Organization</t>
        </is>
      </c>
      <c r="D1347" s="156" t="n"/>
      <c r="E1347" s="156" t="n"/>
      <c r="F1347" s="157">
        <f>HYPERLINK("https://app.global.datasite.com/webviewer/?projectId=696652ec0dc07cc02daa26a0&amp;documentId=6a468c572dca3427780224b4","QS Organization")</f>
        <v/>
      </c>
      <c r="G1347" s="154" t="inlineStr">
        <is>
          <t>DOCUMENT</t>
        </is>
      </c>
      <c r="H1347" s="154" t="inlineStr">
        <is>
          <t>docx</t>
        </is>
      </c>
      <c r="I1347" s="154" t="inlineStr">
        <is>
          <t>DOWNLOAD</t>
        </is>
      </c>
      <c r="J1347" s="154" t="n">
        <v>0.12739753</v>
      </c>
      <c r="K1347" s="154" t="inlineStr">
        <is>
          <t>Unread</t>
        </is>
      </c>
      <c r="L1347" s="158" t="n">
        <v>46205.75947981481</v>
      </c>
      <c r="M1347" s="154" t="inlineStr">
        <is>
          <t>6a468c572dca3427780224b4</t>
        </is>
      </c>
    </row>
    <row r="1348">
      <c r="A1348" s="154" t="inlineStr">
        <is>
          <t>Project Notos</t>
        </is>
      </c>
      <c r="B1348" s="154" t="inlineStr">
        <is>
          <t>6</t>
        </is>
      </c>
      <c r="C1348" s="155" t="inlineStr">
        <is>
          <t>Further Documents - Atlantis</t>
        </is>
      </c>
      <c r="D1348" s="156" t="n"/>
      <c r="E1348" s="156" t="n"/>
      <c r="F1348" s="157">
        <f>HYPERLINK("https://app.global.datasite.com/platform/container/696652ec0dc07cc02daa26a0/documents/content/index/6a399977d3e46919af3068bd","Further Documents - Atlantis")</f>
        <v/>
      </c>
      <c r="G1348" s="154" t="inlineStr">
        <is>
          <t>FOLDER</t>
        </is>
      </c>
      <c r="H1348" s="154" t="n"/>
      <c r="I1348" s="154" t="inlineStr">
        <is>
          <t>DOWNLOAD</t>
        </is>
      </c>
      <c r="J1348" s="154" t="n"/>
      <c r="K1348" s="154" t="inlineStr">
        <is>
          <t>Unread</t>
        </is>
      </c>
      <c r="L1348" s="158" t="n">
        <v>46196.76307518518</v>
      </c>
      <c r="M1348" s="154" t="inlineStr">
        <is>
          <t>6a399977d3e46919af3068bd</t>
        </is>
      </c>
    </row>
    <row r="1349">
      <c r="A1349" s="154" t="inlineStr">
        <is>
          <t>Project Notos</t>
        </is>
      </c>
      <c r="B1349" s="154" t="inlineStr">
        <is>
          <t>6.1</t>
        </is>
      </c>
      <c r="C1349" s="155" t="inlineStr">
        <is>
          <t>Management_Presentation</t>
        </is>
      </c>
      <c r="D1349" s="156" t="n"/>
      <c r="E1349" s="156" t="n"/>
      <c r="F1349" s="157">
        <f>HYPERLINK("https://app.global.datasite.com/webviewer/?projectId=696652ec0dc07cc02daa26a0&amp;documentId=6a3a43a7a44453336015c2c8","Management_Presentation")</f>
        <v/>
      </c>
      <c r="G1349" s="154" t="inlineStr">
        <is>
          <t>DOCUMENT</t>
        </is>
      </c>
      <c r="H1349" s="154" t="inlineStr">
        <is>
          <t>pdf</t>
        </is>
      </c>
      <c r="I1349" s="154" t="inlineStr">
        <is>
          <t>DOWNLOAD</t>
        </is>
      </c>
      <c r="J1349" s="154" t="n">
        <v>5.5957756</v>
      </c>
      <c r="K1349" s="154" t="inlineStr">
        <is>
          <t>Unread</t>
        </is>
      </c>
      <c r="L1349" s="158" t="n">
        <v>46196.76307474537</v>
      </c>
      <c r="M1349" s="154" t="inlineStr">
        <is>
          <t>6a3a43a7a44453336015c2c8</t>
        </is>
      </c>
    </row>
    <row r="1350">
      <c r="A1350" s="154" t="inlineStr">
        <is>
          <t>Project Notos</t>
        </is>
      </c>
      <c r="B1350" s="154" t="inlineStr">
        <is>
          <t>6.2</t>
        </is>
      </c>
      <c r="C1350" s="155" t="inlineStr">
        <is>
          <t>Plant_Presentation_Zabrze</t>
        </is>
      </c>
      <c r="D1350" s="156" t="n"/>
      <c r="E1350" s="156" t="n"/>
      <c r="F1350" s="157">
        <f>HYPERLINK("https://app.global.datasite.com/webviewer/?projectId=696652ec0dc07cc02daa26a0&amp;documentId=6a3a43a7a44453336015c2c9","Plant_Presentation_Zabrze")</f>
        <v/>
      </c>
      <c r="G1350" s="154" t="inlineStr">
        <is>
          <t>DOCUMENT</t>
        </is>
      </c>
      <c r="H1350" s="154" t="inlineStr">
        <is>
          <t>pdf</t>
        </is>
      </c>
      <c r="I1350" s="154" t="inlineStr">
        <is>
          <t>DOWNLOAD</t>
        </is>
      </c>
      <c r="J1350" s="154" t="n">
        <v>1.97763633</v>
      </c>
      <c r="K1350" s="154" t="inlineStr">
        <is>
          <t>Unread</t>
        </is>
      </c>
      <c r="L1350" s="158" t="n">
        <v>46196.76307474537</v>
      </c>
      <c r="M1350" s="154" t="inlineStr">
        <is>
          <t>6a3a43a7a44453336015c2c9</t>
        </is>
      </c>
    </row>
    <row r="1351">
      <c r="A1351" s="154" t="inlineStr">
        <is>
          <t>Project Notos Clean Team</t>
        </is>
      </c>
      <c r="B1351" s="154" t="n"/>
      <c r="C1351" s="155" t="inlineStr">
        <is>
          <t>Project Notos Clean Team</t>
        </is>
      </c>
      <c r="D1351" s="156" t="n"/>
      <c r="E1351" s="156" t="n"/>
      <c r="F1351" s="157">
        <f>HYPERLINK("https://app.global.datasite.com/platform/container/696652ec0dc07cc02daa26a0/documents/content/index/699ed64ab832202a0b13f819","Project Notos Clean Team")</f>
        <v/>
      </c>
      <c r="G1351" s="154" t="inlineStr">
        <is>
          <t>FILEROOM</t>
        </is>
      </c>
      <c r="H1351" s="154" t="n"/>
      <c r="I1351" s="154" t="inlineStr">
        <is>
          <t>DOWNLOAD</t>
        </is>
      </c>
      <c r="J1351" s="154" t="n"/>
      <c r="K1351" s="154" t="inlineStr">
        <is>
          <t>Unread</t>
        </is>
      </c>
      <c r="L1351" s="158" t="n">
        <v>46195.66359459491</v>
      </c>
      <c r="M1351" s="154" t="inlineStr">
        <is>
          <t>699ed64ab832202a0b13f819</t>
        </is>
      </c>
    </row>
    <row r="1352">
      <c r="A1352" s="154" t="inlineStr">
        <is>
          <t>Project Notos Clean Team</t>
        </is>
      </c>
      <c r="B1352" s="154" t="inlineStr">
        <is>
          <t>1</t>
        </is>
      </c>
      <c r="C1352" s="155" t="inlineStr">
        <is>
          <t>Commercial</t>
        </is>
      </c>
      <c r="D1352" s="156" t="n"/>
      <c r="E1352" s="156" t="n"/>
      <c r="F1352" s="157">
        <f>HYPERLINK("https://app.global.datasite.com/platform/container/696652ec0dc07cc02daa26a0/documents/content/index/69c555aff823513bf7f4fe90","Commercial")</f>
        <v/>
      </c>
      <c r="G1352" s="154" t="inlineStr">
        <is>
          <t>FOLDER</t>
        </is>
      </c>
      <c r="H1352" s="154" t="n"/>
      <c r="I1352" s="154" t="inlineStr">
        <is>
          <t>DOWNLOAD</t>
        </is>
      </c>
      <c r="J1352" s="154" t="n"/>
      <c r="K1352" s="154" t="inlineStr">
        <is>
          <t>Unread</t>
        </is>
      </c>
      <c r="L1352" s="158" t="n">
        <v>46195.66359459491</v>
      </c>
      <c r="M1352" s="154" t="inlineStr">
        <is>
          <t>69c555aff823513bf7f4fe90</t>
        </is>
      </c>
    </row>
    <row r="1353">
      <c r="A1353" s="154" t="inlineStr">
        <is>
          <t>Project Notos Clean Team</t>
        </is>
      </c>
      <c r="B1353" s="154" t="inlineStr">
        <is>
          <t>1.1</t>
        </is>
      </c>
      <c r="C1353" s="155" t="inlineStr">
        <is>
          <t>Customers</t>
        </is>
      </c>
      <c r="D1353" s="156" t="n"/>
      <c r="E1353" s="156" t="n"/>
      <c r="F1353" s="157">
        <f>HYPERLINK("https://app.global.datasite.com/platform/container/696652ec0dc07cc02daa26a0/documents/content/index/69c555bbc5c018b648298955","Customers")</f>
        <v/>
      </c>
      <c r="G1353" s="154" t="inlineStr">
        <is>
          <t>FOLDER</t>
        </is>
      </c>
      <c r="H1353" s="154" t="n"/>
      <c r="I1353" s="154" t="inlineStr">
        <is>
          <t>DOWNLOAD</t>
        </is>
      </c>
      <c r="J1353" s="154" t="n"/>
      <c r="K1353" s="154" t="inlineStr">
        <is>
          <t>Unread</t>
        </is>
      </c>
      <c r="L1353" s="158" t="n">
        <v>46195.66359459491</v>
      </c>
      <c r="M1353" s="154" t="inlineStr">
        <is>
          <t>69c555bbc5c018b648298955</t>
        </is>
      </c>
    </row>
    <row r="1354">
      <c r="A1354" s="154" t="inlineStr">
        <is>
          <t>Project Notos Clean Team</t>
        </is>
      </c>
      <c r="B1354" s="154" t="inlineStr">
        <is>
          <t>1.1.1</t>
        </is>
      </c>
      <c r="C1354" s="155" t="inlineStr">
        <is>
          <t>Innerio Thermal Technology (ITT )</t>
        </is>
      </c>
      <c r="D1354" s="156" t="n"/>
      <c r="E1354" s="156" t="n"/>
      <c r="F1354" s="157">
        <f>HYPERLINK("https://app.global.datasite.com/platform/container/696652ec0dc07cc02daa26a0/documents/content/index/69ca9dd7c5c018b6482b2124","Innerio Thermal Technology (ITT )")</f>
        <v/>
      </c>
      <c r="G1354" s="154" t="inlineStr">
        <is>
          <t>FOLDER</t>
        </is>
      </c>
      <c r="H1354" s="154" t="n"/>
      <c r="I1354" s="154" t="inlineStr">
        <is>
          <t>DOWNLOAD</t>
        </is>
      </c>
      <c r="J1354" s="154" t="n"/>
      <c r="K1354" s="154" t="inlineStr">
        <is>
          <t>Unread</t>
        </is>
      </c>
      <c r="L1354" s="158" t="n">
        <v>46195.66359459491</v>
      </c>
      <c r="M1354" s="154" t="inlineStr">
        <is>
          <t>69ca9dd7c5c018b6482b2124</t>
        </is>
      </c>
    </row>
    <row r="1355">
      <c r="A1355" s="154" t="inlineStr">
        <is>
          <t>Project Notos Clean Team</t>
        </is>
      </c>
      <c r="B1355" s="154" t="inlineStr">
        <is>
          <t>1.1.1.1</t>
        </is>
      </c>
      <c r="C1355" s="155" t="inlineStr">
        <is>
          <t>Customer A</t>
        </is>
      </c>
      <c r="D1355" s="156" t="n"/>
      <c r="E1355" s="156" t="n"/>
      <c r="F1355" s="157">
        <f>HYPERLINK("https://app.global.datasite.com/platform/container/696652ec0dc07cc02daa26a0/documents/content/index/69c55712f1bc84f53ce89822","Customer A")</f>
        <v/>
      </c>
      <c r="G1355" s="154" t="inlineStr">
        <is>
          <t>FOLDER</t>
        </is>
      </c>
      <c r="H1355" s="154" t="n"/>
      <c r="I1355" s="154" t="inlineStr">
        <is>
          <t>DOWNLOAD</t>
        </is>
      </c>
      <c r="J1355" s="154" t="n"/>
      <c r="K1355" s="154" t="inlineStr">
        <is>
          <t>Unread</t>
        </is>
      </c>
      <c r="L1355" s="158" t="n">
        <v>46195.66359459491</v>
      </c>
      <c r="M1355" s="154" t="inlineStr">
        <is>
          <t>69c55712f1bc84f53ce89822</t>
        </is>
      </c>
    </row>
    <row r="1356">
      <c r="A1356" s="154" t="inlineStr">
        <is>
          <t>Project Notos Clean Team</t>
        </is>
      </c>
      <c r="B1356" s="154" t="inlineStr">
        <is>
          <t>1.1.1.1.1</t>
        </is>
      </c>
      <c r="C1356" s="155" t="inlineStr">
        <is>
          <t>ITT_Terms and Conditions_January 2022_Customer A</t>
        </is>
      </c>
      <c r="D1356" s="156" t="n"/>
      <c r="E1356" s="156" t="n"/>
      <c r="F1356" s="157">
        <f>HYPERLINK("https://app.global.datasite.com/webviewer/?projectId=696652ec0dc07cc02daa26a0&amp;documentId=69c555d6f1bc84f53ce897b3","ITT_Terms and Conditions_January 2022_Customer A")</f>
        <v/>
      </c>
      <c r="G1356" s="154" t="inlineStr">
        <is>
          <t>DOCUMENT</t>
        </is>
      </c>
      <c r="H1356" s="154" t="inlineStr">
        <is>
          <t>pdf</t>
        </is>
      </c>
      <c r="I1356" s="154" t="inlineStr">
        <is>
          <t>DOWNLOAD</t>
        </is>
      </c>
      <c r="J1356" s="154" t="n">
        <v>1.02022171</v>
      </c>
      <c r="K1356" s="154" t="inlineStr">
        <is>
          <t>Unread</t>
        </is>
      </c>
      <c r="L1356" s="158" t="n">
        <v>46195.66359459491</v>
      </c>
      <c r="M1356" s="154" t="inlineStr">
        <is>
          <t>69c555d6f1bc84f53ce897b3</t>
        </is>
      </c>
    </row>
    <row r="1357">
      <c r="A1357" s="154" t="inlineStr">
        <is>
          <t>Project Notos Clean Team</t>
        </is>
      </c>
      <c r="B1357" s="154" t="inlineStr">
        <is>
          <t>1.1.1.1.2</t>
        </is>
      </c>
      <c r="C1357" s="155" t="inlineStr">
        <is>
          <t>ITT_Trade_Agreement_Customer A</t>
        </is>
      </c>
      <c r="D1357" s="156" t="n"/>
      <c r="E1357" s="156" t="n"/>
      <c r="F1357" s="157">
        <f>HYPERLINK("https://app.global.datasite.com/webviewer/?projectId=696652ec0dc07cc02daa26a0&amp;documentId=69c68c69c5c018b6482a1a4d","ITT_Trade_Agreement_Customer A")</f>
        <v/>
      </c>
      <c r="G1357" s="154" t="inlineStr">
        <is>
          <t>DOCUMENT</t>
        </is>
      </c>
      <c r="H1357" s="154" t="inlineStr">
        <is>
          <t>pdf</t>
        </is>
      </c>
      <c r="I1357" s="154" t="inlineStr">
        <is>
          <t>DOWNLOAD</t>
        </is>
      </c>
      <c r="J1357" s="154" t="n">
        <v>10.68088054</v>
      </c>
      <c r="K1357" s="154" t="inlineStr">
        <is>
          <t>Unread</t>
        </is>
      </c>
      <c r="L1357" s="158" t="n">
        <v>46195.66359459491</v>
      </c>
      <c r="M1357" s="154" t="inlineStr">
        <is>
          <t>69c68c69c5c018b6482a1a4d</t>
        </is>
      </c>
    </row>
    <row r="1358">
      <c r="A1358" s="154" t="inlineStr">
        <is>
          <t>Project Notos Clean Team</t>
        </is>
      </c>
      <c r="B1358" s="154" t="inlineStr">
        <is>
          <t>1.1.1.1.3</t>
        </is>
      </c>
      <c r="C1358" s="155" t="inlineStr">
        <is>
          <t>ITT_Agreement_Customer A</t>
        </is>
      </c>
      <c r="D1358" s="156" t="n"/>
      <c r="E1358" s="156" t="n"/>
      <c r="F1358" s="157">
        <f>HYPERLINK("https://app.global.datasite.com/webviewer/?projectId=696652ec0dc07cc02daa26a0&amp;documentId=69eb64a77353b1cab9927a4b","ITT_Agreement_Customer A")</f>
        <v/>
      </c>
      <c r="G1358" s="154" t="inlineStr">
        <is>
          <t>DOCUMENT</t>
        </is>
      </c>
      <c r="H1358" s="154" t="inlineStr">
        <is>
          <t>pdf</t>
        </is>
      </c>
      <c r="I1358" s="154" t="inlineStr">
        <is>
          <t>DOWNLOAD</t>
        </is>
      </c>
      <c r="J1358" s="154" t="n">
        <v>1.61276435</v>
      </c>
      <c r="K1358" s="154" t="inlineStr">
        <is>
          <t>Unread</t>
        </is>
      </c>
      <c r="L1358" s="158" t="n">
        <v>46195.66359459491</v>
      </c>
      <c r="M1358" s="154" t="inlineStr">
        <is>
          <t>69eb64a77353b1cab9927a4b</t>
        </is>
      </c>
    </row>
    <row r="1359">
      <c r="A1359" s="154" t="inlineStr">
        <is>
          <t>Project Notos Clean Team</t>
        </is>
      </c>
      <c r="B1359" s="154" t="inlineStr">
        <is>
          <t>1.1.1.2</t>
        </is>
      </c>
      <c r="C1359" s="155" t="inlineStr">
        <is>
          <t>Customer B</t>
        </is>
      </c>
      <c r="D1359" s="156" t="n"/>
      <c r="E1359" s="156" t="n"/>
      <c r="F1359" s="157">
        <f>HYPERLINK("https://app.global.datasite.com/platform/container/696652ec0dc07cc02daa26a0/documents/content/index/69ca9e248bca9003549a45e7","Customer B")</f>
        <v/>
      </c>
      <c r="G1359" s="154" t="inlineStr">
        <is>
          <t>FOLDER</t>
        </is>
      </c>
      <c r="H1359" s="154" t="n"/>
      <c r="I1359" s="154" t="inlineStr">
        <is>
          <t>DOWNLOAD</t>
        </is>
      </c>
      <c r="J1359" s="154" t="n"/>
      <c r="K1359" s="154" t="inlineStr">
        <is>
          <t>Unread</t>
        </is>
      </c>
      <c r="L1359" s="158" t="n">
        <v>46195.66359459491</v>
      </c>
      <c r="M1359" s="154" t="inlineStr">
        <is>
          <t>69ca9e248bca9003549a45e7</t>
        </is>
      </c>
    </row>
    <row r="1360">
      <c r="A1360" s="154" t="inlineStr">
        <is>
          <t>Project Notos Clean Team</t>
        </is>
      </c>
      <c r="B1360" s="154" t="inlineStr">
        <is>
          <t>1.1.1.2.1</t>
        </is>
      </c>
      <c r="C1360" s="155" t="inlineStr">
        <is>
          <t>ITT_Framework Agreement_Customer B_200131</t>
        </is>
      </c>
      <c r="D1360" s="156" t="n"/>
      <c r="E1360" s="156" t="n"/>
      <c r="F1360" s="157">
        <f>HYPERLINK("https://app.global.datasite.com/webviewer/?projectId=696652ec0dc07cc02daa26a0&amp;documentId=69c555d6f1bc84f53ce897b4","ITT_Framework Agreement_Customer B_200131")</f>
        <v/>
      </c>
      <c r="G1360" s="154" t="inlineStr">
        <is>
          <t>DOCUMENT</t>
        </is>
      </c>
      <c r="H1360" s="154" t="inlineStr">
        <is>
          <t>pdf</t>
        </is>
      </c>
      <c r="I1360" s="154" t="inlineStr">
        <is>
          <t>DOWNLOAD</t>
        </is>
      </c>
      <c r="J1360" s="154" t="n">
        <v>2.70324707</v>
      </c>
      <c r="K1360" s="154" t="inlineStr">
        <is>
          <t>Read</t>
        </is>
      </c>
      <c r="L1360" s="158" t="n">
        <v>46195.66359459491</v>
      </c>
      <c r="M1360" s="154" t="inlineStr">
        <is>
          <t>69c555d6f1bc84f53ce897b4</t>
        </is>
      </c>
    </row>
    <row r="1361">
      <c r="A1361" s="154" t="inlineStr">
        <is>
          <t>Project Notos Clean Team</t>
        </is>
      </c>
      <c r="B1361" s="154" t="inlineStr">
        <is>
          <t>1.1.2</t>
        </is>
      </c>
      <c r="C1361" s="155" t="inlineStr">
        <is>
          <t>Innerio Heat Exchanger (IHE)</t>
        </is>
      </c>
      <c r="D1361" s="156" t="n"/>
      <c r="E1361" s="156" t="n"/>
      <c r="F1361" s="157">
        <f>HYPERLINK("https://app.global.datasite.com/platform/container/696652ec0dc07cc02daa26a0/documents/content/index/69ca9def8afd4a56cbcbb09d","Innerio Heat Exchanger (IHE)")</f>
        <v/>
      </c>
      <c r="G1361" s="154" t="inlineStr">
        <is>
          <t>FOLDER</t>
        </is>
      </c>
      <c r="H1361" s="154" t="n"/>
      <c r="I1361" s="154" t="inlineStr">
        <is>
          <t>DOWNLOAD</t>
        </is>
      </c>
      <c r="J1361" s="154" t="n"/>
      <c r="K1361" s="154" t="inlineStr">
        <is>
          <t>Unread</t>
        </is>
      </c>
      <c r="L1361" s="158" t="n">
        <v>46195.66359459491</v>
      </c>
      <c r="M1361" s="154" t="inlineStr">
        <is>
          <t>69ca9def8afd4a56cbcbb09d</t>
        </is>
      </c>
    </row>
    <row r="1362">
      <c r="A1362" s="154" t="inlineStr">
        <is>
          <t>Project Notos Clean Team</t>
        </is>
      </c>
      <c r="B1362" s="154" t="inlineStr">
        <is>
          <t>1.1.2.1</t>
        </is>
      </c>
      <c r="C1362" s="155" t="inlineStr">
        <is>
          <t>Customer D</t>
        </is>
      </c>
      <c r="D1362" s="156" t="n"/>
      <c r="E1362" s="156" t="n"/>
      <c r="F1362" s="157">
        <f>HYPERLINK("https://app.global.datasite.com/platform/container/696652ec0dc07cc02daa26a0/documents/content/index/69ca9f28f2516408b58a42b1","Customer D")</f>
        <v/>
      </c>
      <c r="G1362" s="154" t="inlineStr">
        <is>
          <t>FOLDER</t>
        </is>
      </c>
      <c r="H1362" s="154" t="n"/>
      <c r="I1362" s="154" t="inlineStr">
        <is>
          <t>DOWNLOAD</t>
        </is>
      </c>
      <c r="J1362" s="154" t="n"/>
      <c r="K1362" s="154" t="inlineStr">
        <is>
          <t>Unread</t>
        </is>
      </c>
      <c r="L1362" s="158" t="n">
        <v>46195.66359459491</v>
      </c>
      <c r="M1362" s="154" t="inlineStr">
        <is>
          <t>69ca9f28f2516408b58a42b1</t>
        </is>
      </c>
    </row>
    <row r="1363">
      <c r="A1363" s="154" t="inlineStr">
        <is>
          <t>Project Notos Clean Team</t>
        </is>
      </c>
      <c r="B1363" s="154" t="inlineStr">
        <is>
          <t>1.1.2.1.1</t>
        </is>
      </c>
      <c r="C1363" s="155" t="inlineStr">
        <is>
          <t>IHE_Framework Agreement_Customer D_190228</t>
        </is>
      </c>
      <c r="D1363" s="156" t="n"/>
      <c r="E1363" s="156" t="n"/>
      <c r="F1363" s="157">
        <f>HYPERLINK("https://app.global.datasite.com/webviewer/?projectId=696652ec0dc07cc02daa26a0&amp;documentId=69c555d6f1bc84f53ce897b0","IHE_Framework Agreement_Customer D_190228")</f>
        <v/>
      </c>
      <c r="G1363" s="154" t="inlineStr">
        <is>
          <t>DOCUMENT</t>
        </is>
      </c>
      <c r="H1363" s="154" t="inlineStr">
        <is>
          <t>pdf</t>
        </is>
      </c>
      <c r="I1363" s="154" t="inlineStr">
        <is>
          <t>DOWNLOAD</t>
        </is>
      </c>
      <c r="J1363" s="154" t="n">
        <v>7.67378234</v>
      </c>
      <c r="K1363" s="154" t="inlineStr">
        <is>
          <t>Unread</t>
        </is>
      </c>
      <c r="L1363" s="158" t="n">
        <v>46195.66359459491</v>
      </c>
      <c r="M1363" s="154" t="inlineStr">
        <is>
          <t>69c555d6f1bc84f53ce897b0</t>
        </is>
      </c>
    </row>
    <row r="1364">
      <c r="A1364" s="154" t="inlineStr">
        <is>
          <t>Project Notos Clean Team</t>
        </is>
      </c>
      <c r="B1364" s="154" t="inlineStr">
        <is>
          <t>1.1.2.2</t>
        </is>
      </c>
      <c r="C1364" s="155" t="inlineStr">
        <is>
          <t>Customer E</t>
        </is>
      </c>
      <c r="D1364" s="156" t="n"/>
      <c r="E1364" s="156" t="n"/>
      <c r="F1364" s="157">
        <f>HYPERLINK("https://app.global.datasite.com/platform/container/696652ec0dc07cc02daa26a0/documents/content/index/69ca9f191937d5b42e54a5f5","Customer E")</f>
        <v/>
      </c>
      <c r="G1364" s="154" t="inlineStr">
        <is>
          <t>FOLDER</t>
        </is>
      </c>
      <c r="H1364" s="154" t="n"/>
      <c r="I1364" s="154" t="inlineStr">
        <is>
          <t>DOWNLOAD</t>
        </is>
      </c>
      <c r="J1364" s="154" t="n"/>
      <c r="K1364" s="154" t="inlineStr">
        <is>
          <t>Unread</t>
        </is>
      </c>
      <c r="L1364" s="158" t="n">
        <v>46195.66359459491</v>
      </c>
      <c r="M1364" s="154" t="inlineStr">
        <is>
          <t>69ca9f191937d5b42e54a5f5</t>
        </is>
      </c>
    </row>
    <row r="1365">
      <c r="A1365" s="154" t="inlineStr">
        <is>
          <t>Project Notos Clean Team</t>
        </is>
      </c>
      <c r="B1365" s="154" t="inlineStr">
        <is>
          <t>1.1.2.2.1</t>
        </is>
      </c>
      <c r="C1365" s="155" t="inlineStr">
        <is>
          <t>IHE_Customer E_Rahmenvereinbarung zur Konzeptverantwortung_202410</t>
        </is>
      </c>
      <c r="D1365" s="156" t="n"/>
      <c r="E1365" s="156" t="n"/>
      <c r="F1365" s="157">
        <f>HYPERLINK("https://app.global.datasite.com/webviewer/?projectId=696652ec0dc07cc02daa26a0&amp;documentId=69c555d6f1bc84f53ce897b2","IHE_Customer E_Rahmenvereinbarung zur Konzeptverantwortung_202410")</f>
        <v/>
      </c>
      <c r="G1365" s="154" t="inlineStr">
        <is>
          <t>DOCUMENT</t>
        </is>
      </c>
      <c r="H1365" s="154" t="inlineStr">
        <is>
          <t>pdf</t>
        </is>
      </c>
      <c r="I1365" s="154" t="inlineStr">
        <is>
          <t>DOWNLOAD</t>
        </is>
      </c>
      <c r="J1365" s="154" t="n">
        <v>1.34901618</v>
      </c>
      <c r="K1365" s="154" t="inlineStr">
        <is>
          <t>Unread</t>
        </is>
      </c>
      <c r="L1365" s="158" t="n">
        <v>46195.66359459491</v>
      </c>
      <c r="M1365" s="154" t="inlineStr">
        <is>
          <t>69c555d6f1bc84f53ce897b2</t>
        </is>
      </c>
    </row>
    <row r="1366">
      <c r="A1366" s="154" t="inlineStr">
        <is>
          <t>Project Notos Clean Team</t>
        </is>
      </c>
      <c r="B1366" s="154" t="inlineStr">
        <is>
          <t>1.1.2.3</t>
        </is>
      </c>
      <c r="C1366" s="155" t="inlineStr">
        <is>
          <t>Customer F</t>
        </is>
      </c>
      <c r="D1366" s="156" t="n"/>
      <c r="E1366" s="156" t="n"/>
      <c r="F1366" s="157">
        <f>HYPERLINK("https://app.global.datasite.com/platform/container/696652ec0dc07cc02daa26a0/documents/content/index/69ca9f375bd753d439680d3c","Customer F")</f>
        <v/>
      </c>
      <c r="G1366" s="154" t="inlineStr">
        <is>
          <t>FOLDER</t>
        </is>
      </c>
      <c r="H1366" s="154" t="n"/>
      <c r="I1366" s="154" t="inlineStr">
        <is>
          <t>DOWNLOAD</t>
        </is>
      </c>
      <c r="J1366" s="154" t="n"/>
      <c r="K1366" s="154" t="inlineStr">
        <is>
          <t>Unread</t>
        </is>
      </c>
      <c r="L1366" s="158" t="n">
        <v>46195.66359459491</v>
      </c>
      <c r="M1366" s="154" t="inlineStr">
        <is>
          <t>69ca9f375bd753d439680d3c</t>
        </is>
      </c>
    </row>
    <row r="1367">
      <c r="A1367" s="154" t="inlineStr">
        <is>
          <t>Project Notos Clean Team</t>
        </is>
      </c>
      <c r="B1367" s="154" t="inlineStr">
        <is>
          <t>1.1.2.3.1</t>
        </is>
      </c>
      <c r="C1367" s="155" t="inlineStr">
        <is>
          <t>IHE_Global Master Repurchasing Agreement_Customer F_210401</t>
        </is>
      </c>
      <c r="D1367" s="156" t="n"/>
      <c r="E1367" s="156" t="n"/>
      <c r="F1367" s="157">
        <f>HYPERLINK("https://app.global.datasite.com/webviewer/?projectId=696652ec0dc07cc02daa26a0&amp;documentId=69c555d6f1bc84f53ce897b5","IHE_Global Master Repurchasing Agreement_Customer F_210401")</f>
        <v/>
      </c>
      <c r="G1367" s="154" t="inlineStr">
        <is>
          <t>DOCUMENT</t>
        </is>
      </c>
      <c r="H1367" s="154" t="inlineStr">
        <is>
          <t>pdf</t>
        </is>
      </c>
      <c r="I1367" s="154" t="inlineStr">
        <is>
          <t>DOWNLOAD</t>
        </is>
      </c>
      <c r="J1367" s="154" t="n">
        <v>1.24099445</v>
      </c>
      <c r="K1367" s="154" t="inlineStr">
        <is>
          <t>Unread</t>
        </is>
      </c>
      <c r="L1367" s="158" t="n">
        <v>46195.66359459491</v>
      </c>
      <c r="M1367" s="154" t="inlineStr">
        <is>
          <t>69c555d6f1bc84f53ce897b5</t>
        </is>
      </c>
    </row>
    <row r="1368">
      <c r="A1368" s="154" t="inlineStr">
        <is>
          <t>Project Notos Clean Team</t>
        </is>
      </c>
      <c r="B1368" s="154" t="inlineStr">
        <is>
          <t>1.1.3</t>
        </is>
      </c>
      <c r="C1368" s="155" t="inlineStr">
        <is>
          <t>Fertinger Tubes (FT)</t>
        </is>
      </c>
      <c r="D1368" s="156" t="n"/>
      <c r="E1368" s="156" t="n"/>
      <c r="F1368" s="157">
        <f>HYPERLINK("https://app.global.datasite.com/platform/container/696652ec0dc07cc02daa26a0/documents/content/index/69ca9f531937d5b42e54a5fc","Fertinger Tubes (FT)")</f>
        <v/>
      </c>
      <c r="G1368" s="154" t="inlineStr">
        <is>
          <t>FOLDER</t>
        </is>
      </c>
      <c r="H1368" s="154" t="n"/>
      <c r="I1368" s="154" t="inlineStr">
        <is>
          <t>DOWNLOAD</t>
        </is>
      </c>
      <c r="J1368" s="154" t="n"/>
      <c r="K1368" s="154" t="inlineStr">
        <is>
          <t>Unread</t>
        </is>
      </c>
      <c r="L1368" s="158" t="n">
        <v>46195.66359459491</v>
      </c>
      <c r="M1368" s="154" t="inlineStr">
        <is>
          <t>69ca9f531937d5b42e54a5fc</t>
        </is>
      </c>
    </row>
    <row r="1369">
      <c r="A1369" s="154" t="inlineStr">
        <is>
          <t>Project Notos Clean Team</t>
        </is>
      </c>
      <c r="B1369" s="154" t="inlineStr">
        <is>
          <t>1.1.3.1</t>
        </is>
      </c>
      <c r="C1369" s="155" t="inlineStr">
        <is>
          <t>Customer F</t>
        </is>
      </c>
      <c r="D1369" s="156" t="n"/>
      <c r="E1369" s="156" t="n"/>
      <c r="F1369" s="157">
        <f>HYPERLINK("https://app.global.datasite.com/platform/container/696652ec0dc07cc02daa26a0/documents/content/index/69ca9ffa8fcb7339a24126e8","Customer F")</f>
        <v/>
      </c>
      <c r="G1369" s="154" t="inlineStr">
        <is>
          <t>FOLDER</t>
        </is>
      </c>
      <c r="H1369" s="154" t="n"/>
      <c r="I1369" s="154" t="inlineStr">
        <is>
          <t>DOWNLOAD</t>
        </is>
      </c>
      <c r="J1369" s="154" t="n"/>
      <c r="K1369" s="154" t="inlineStr">
        <is>
          <t>Unread</t>
        </is>
      </c>
      <c r="L1369" s="158" t="n">
        <v>46195.66359459491</v>
      </c>
      <c r="M1369" s="154" t="inlineStr">
        <is>
          <t>69ca9ffa8fcb7339a24126e8</t>
        </is>
      </c>
    </row>
    <row r="1370">
      <c r="A1370" s="154" t="inlineStr">
        <is>
          <t>Project Notos Clean Team</t>
        </is>
      </c>
      <c r="B1370" s="154" t="inlineStr">
        <is>
          <t>1.1.3.1.1</t>
        </is>
      </c>
      <c r="C1370" s="155" t="inlineStr">
        <is>
          <t>FT_Global Master Purchasing Agreement_Customer F</t>
        </is>
      </c>
      <c r="D1370" s="156" t="n"/>
      <c r="E1370" s="156" t="n"/>
      <c r="F1370" s="157">
        <f>HYPERLINK("https://app.global.datasite.com/webviewer/?projectId=696652ec0dc07cc02daa26a0&amp;documentId=69caa1cb9d9e98a960ef425c","FT_Global Master Purchasing Agreement_Customer F")</f>
        <v/>
      </c>
      <c r="G1370" s="154" t="inlineStr">
        <is>
          <t>DOCUMENT</t>
        </is>
      </c>
      <c r="H1370" s="154" t="inlineStr">
        <is>
          <t>pdf</t>
        </is>
      </c>
      <c r="I1370" s="154" t="inlineStr">
        <is>
          <t>DOWNLOAD</t>
        </is>
      </c>
      <c r="J1370" s="154" t="n">
        <v>0.24386692</v>
      </c>
      <c r="K1370" s="154" t="inlineStr">
        <is>
          <t>Read</t>
        </is>
      </c>
      <c r="L1370" s="158" t="n">
        <v>46195.66359459491</v>
      </c>
      <c r="M1370" s="154" t="inlineStr">
        <is>
          <t>69caa1cb9d9e98a960ef425c</t>
        </is>
      </c>
    </row>
    <row r="1371">
      <c r="A1371" s="154" t="inlineStr">
        <is>
          <t>Project Notos Clean Team</t>
        </is>
      </c>
      <c r="B1371" s="154" t="inlineStr">
        <is>
          <t>1.1.3.2</t>
        </is>
      </c>
      <c r="C1371" s="155" t="inlineStr">
        <is>
          <t>Customer G</t>
        </is>
      </c>
      <c r="D1371" s="156" t="n"/>
      <c r="E1371" s="156" t="n"/>
      <c r="F1371" s="157">
        <f>HYPERLINK("https://app.global.datasite.com/platform/container/696652ec0dc07cc02daa26a0/documents/content/index/69caa020d71dfed7bae84e15","Customer G")</f>
        <v/>
      </c>
      <c r="G1371" s="154" t="inlineStr">
        <is>
          <t>FOLDER</t>
        </is>
      </c>
      <c r="H1371" s="154" t="n"/>
      <c r="I1371" s="154" t="inlineStr">
        <is>
          <t>DOWNLOAD</t>
        </is>
      </c>
      <c r="J1371" s="154" t="n"/>
      <c r="K1371" s="154" t="inlineStr">
        <is>
          <t>Unread</t>
        </is>
      </c>
      <c r="L1371" s="158" t="n">
        <v>46195.66359459491</v>
      </c>
      <c r="M1371" s="154" t="inlineStr">
        <is>
          <t>69caa020d71dfed7bae84e15</t>
        </is>
      </c>
    </row>
    <row r="1372">
      <c r="A1372" s="154" t="inlineStr">
        <is>
          <t>Project Notos Clean Team</t>
        </is>
      </c>
      <c r="B1372" s="154" t="inlineStr">
        <is>
          <t>1.1.3.2.1</t>
        </is>
      </c>
      <c r="C1372" s="155" t="inlineStr">
        <is>
          <t>FT_Adjustment 27.03.2023 to Contract Customer G</t>
        </is>
      </c>
      <c r="D1372" s="156" t="n"/>
      <c r="E1372" s="156" t="n"/>
      <c r="F1372" s="157">
        <f>HYPERLINK("https://app.global.datasite.com/webviewer/?projectId=696652ec0dc07cc02daa26a0&amp;documentId=69caa3241937d5b42e54a686","FT_Adjustment 27.03.2023 to Contract Customer G")</f>
        <v/>
      </c>
      <c r="G1372" s="154" t="inlineStr">
        <is>
          <t>DOCUMENT</t>
        </is>
      </c>
      <c r="H1372" s="154" t="inlineStr">
        <is>
          <t>pdf</t>
        </is>
      </c>
      <c r="I1372" s="154" t="inlineStr">
        <is>
          <t>DOWNLOAD</t>
        </is>
      </c>
      <c r="J1372" s="154" t="n">
        <v>0.08735656</v>
      </c>
      <c r="K1372" s="154" t="inlineStr">
        <is>
          <t>Read</t>
        </is>
      </c>
      <c r="L1372" s="158" t="n">
        <v>46195.66359459491</v>
      </c>
      <c r="M1372" s="154" t="inlineStr">
        <is>
          <t>69caa3241937d5b42e54a686</t>
        </is>
      </c>
    </row>
    <row r="1373">
      <c r="A1373" s="154" t="inlineStr">
        <is>
          <t>Project Notos Clean Team</t>
        </is>
      </c>
      <c r="B1373" s="154" t="inlineStr">
        <is>
          <t>1.1.3.3</t>
        </is>
      </c>
      <c r="C1373" s="155" t="inlineStr">
        <is>
          <t>Customer H</t>
        </is>
      </c>
      <c r="D1373" s="156" t="n"/>
      <c r="E1373" s="156" t="n"/>
      <c r="F1373" s="157">
        <f>HYPERLINK("https://app.global.datasite.com/platform/container/696652ec0dc07cc02daa26a0/documents/content/index/69ca9fe0f1bc84f53cea72af","Customer H")</f>
        <v/>
      </c>
      <c r="G1373" s="154" t="inlineStr">
        <is>
          <t>FOLDER</t>
        </is>
      </c>
      <c r="H1373" s="154" t="n"/>
      <c r="I1373" s="154" t="inlineStr">
        <is>
          <t>DOWNLOAD</t>
        </is>
      </c>
      <c r="J1373" s="154" t="n"/>
      <c r="K1373" s="154" t="inlineStr">
        <is>
          <t>Unread</t>
        </is>
      </c>
      <c r="L1373" s="158" t="n">
        <v>46195.66359459491</v>
      </c>
      <c r="M1373" s="154" t="inlineStr">
        <is>
          <t>69ca9fe0f1bc84f53cea72af</t>
        </is>
      </c>
    </row>
    <row r="1374">
      <c r="A1374" s="154" t="inlineStr">
        <is>
          <t>Project Notos Clean Team</t>
        </is>
      </c>
      <c r="B1374" s="154" t="inlineStr">
        <is>
          <t>1.1.3.3.1</t>
        </is>
      </c>
      <c r="C1374" s="155" t="inlineStr">
        <is>
          <t>FT_05_GTCP_Customer H_December 2019</t>
        </is>
      </c>
      <c r="D1374" s="156" t="n"/>
      <c r="E1374" s="156" t="n"/>
      <c r="F1374" s="157">
        <f>HYPERLINK("https://app.global.datasite.com/webviewer/?projectId=696652ec0dc07cc02daa26a0&amp;documentId=69caa150f823513bf7f6a34e","FT_05_GTCP_Customer H_December 2019")</f>
        <v/>
      </c>
      <c r="G1374" s="154" t="inlineStr">
        <is>
          <t>DOCUMENT</t>
        </is>
      </c>
      <c r="H1374" s="154" t="inlineStr">
        <is>
          <t>pdf</t>
        </is>
      </c>
      <c r="I1374" s="154" t="inlineStr">
        <is>
          <t>DOWNLOAD</t>
        </is>
      </c>
      <c r="J1374" s="154" t="n">
        <v>0.75092029</v>
      </c>
      <c r="K1374" s="154" t="inlineStr">
        <is>
          <t>Unread</t>
        </is>
      </c>
      <c r="L1374" s="158" t="n">
        <v>46195.66359459491</v>
      </c>
      <c r="M1374" s="154" t="inlineStr">
        <is>
          <t>69caa150f823513bf7f6a34e</t>
        </is>
      </c>
    </row>
    <row r="1375">
      <c r="A1375" s="154" t="inlineStr">
        <is>
          <t>Project Notos Clean Team</t>
        </is>
      </c>
      <c r="B1375" s="154" t="inlineStr">
        <is>
          <t>1.1.3.3.2</t>
        </is>
      </c>
      <c r="C1375" s="155" t="inlineStr">
        <is>
          <t>FT_241128 Customer H_GTC 2020</t>
        </is>
      </c>
      <c r="D1375" s="156" t="n"/>
      <c r="E1375" s="156" t="n"/>
      <c r="F1375" s="157">
        <f>HYPERLINK("https://app.global.datasite.com/webviewer/?projectId=696652ec0dc07cc02daa26a0&amp;documentId=69caa224ede9e731bc91a9e6","FT_241128 Customer H_GTC 2020")</f>
        <v/>
      </c>
      <c r="G1375" s="154" t="inlineStr">
        <is>
          <t>DOCUMENT</t>
        </is>
      </c>
      <c r="H1375" s="154" t="inlineStr">
        <is>
          <t>pdf</t>
        </is>
      </c>
      <c r="I1375" s="154" t="inlineStr">
        <is>
          <t>DOWNLOAD</t>
        </is>
      </c>
      <c r="J1375" s="154" t="n">
        <v>6.34335994</v>
      </c>
      <c r="K1375" s="154" t="inlineStr">
        <is>
          <t>Unread</t>
        </is>
      </c>
      <c r="L1375" s="158" t="n">
        <v>46195.66359459491</v>
      </c>
      <c r="M1375" s="154" t="inlineStr">
        <is>
          <t>69caa224ede9e731bc91a9e6</t>
        </is>
      </c>
    </row>
    <row r="1376">
      <c r="A1376" s="154" t="inlineStr">
        <is>
          <t>Project Notos Clean Team</t>
        </is>
      </c>
      <c r="B1376" s="154" t="inlineStr">
        <is>
          <t>1.1.3.4</t>
        </is>
      </c>
      <c r="C1376" s="155" t="inlineStr">
        <is>
          <t>Customer I</t>
        </is>
      </c>
      <c r="D1376" s="156" t="n"/>
      <c r="E1376" s="156" t="n"/>
      <c r="F1376" s="157">
        <f>HYPERLINK("https://app.global.datasite.com/platform/container/696652ec0dc07cc02daa26a0/documents/content/index/69caa001d8173ff1179d931c","Customer I")</f>
        <v/>
      </c>
      <c r="G1376" s="154" t="inlineStr">
        <is>
          <t>FOLDER</t>
        </is>
      </c>
      <c r="H1376" s="154" t="n"/>
      <c r="I1376" s="154" t="inlineStr">
        <is>
          <t>DOWNLOAD</t>
        </is>
      </c>
      <c r="J1376" s="154" t="n"/>
      <c r="K1376" s="154" t="inlineStr">
        <is>
          <t>Unread</t>
        </is>
      </c>
      <c r="L1376" s="158" t="n">
        <v>46195.66359459491</v>
      </c>
      <c r="M1376" s="154" t="inlineStr">
        <is>
          <t>69caa001d8173ff1179d931c</t>
        </is>
      </c>
    </row>
    <row r="1377">
      <c r="A1377" s="154" t="inlineStr">
        <is>
          <t>Project Notos Clean Team</t>
        </is>
      </c>
      <c r="B1377" s="154" t="inlineStr">
        <is>
          <t>1.1.3.4.1</t>
        </is>
      </c>
      <c r="C1377" s="155" t="inlineStr">
        <is>
          <t>FT_Nomination letter _Customer I_20110622</t>
        </is>
      </c>
      <c r="D1377" s="156" t="n"/>
      <c r="E1377" s="156" t="n"/>
      <c r="F1377" s="157">
        <f>HYPERLINK("https://app.global.datasite.com/webviewer/?projectId=696652ec0dc07cc02daa26a0&amp;documentId=69caa73b9d9e98a960ef43cd","FT_Nomination letter _Customer I_20110622")</f>
        <v/>
      </c>
      <c r="G1377" s="154" t="inlineStr">
        <is>
          <t>DOCUMENT</t>
        </is>
      </c>
      <c r="H1377" s="154" t="inlineStr">
        <is>
          <t>pdf</t>
        </is>
      </c>
      <c r="I1377" s="154" t="inlineStr">
        <is>
          <t>DOWNLOAD</t>
        </is>
      </c>
      <c r="J1377" s="154" t="n">
        <v>1.35002994</v>
      </c>
      <c r="K1377" s="154" t="inlineStr">
        <is>
          <t>Unread</t>
        </is>
      </c>
      <c r="L1377" s="158" t="n">
        <v>46195.66359459491</v>
      </c>
      <c r="M1377" s="154" t="inlineStr">
        <is>
          <t>69caa73b9d9e98a960ef43cd</t>
        </is>
      </c>
    </row>
    <row r="1378">
      <c r="A1378" s="154" t="inlineStr">
        <is>
          <t>Project Notos Clean Team</t>
        </is>
      </c>
      <c r="B1378" s="154" t="inlineStr">
        <is>
          <t>1.1.3.4.2</t>
        </is>
      </c>
      <c r="C1378" s="155" t="inlineStr">
        <is>
          <t>FT_Nomination letter - Customer I</t>
        </is>
      </c>
      <c r="D1378" s="156" t="n"/>
      <c r="E1378" s="156" t="n"/>
      <c r="F1378" s="157">
        <f>HYPERLINK("https://app.global.datasite.com/webviewer/?projectId=696652ec0dc07cc02daa26a0&amp;documentId=69caa73b9d9e98a960ef43cc","FT_Nomination letter - Customer I")</f>
        <v/>
      </c>
      <c r="G1378" s="154" t="inlineStr">
        <is>
          <t>DOCUMENT</t>
        </is>
      </c>
      <c r="H1378" s="154" t="inlineStr">
        <is>
          <t>pdf</t>
        </is>
      </c>
      <c r="I1378" s="154" t="inlineStr">
        <is>
          <t>DOWNLOAD</t>
        </is>
      </c>
      <c r="J1378" s="154" t="n">
        <v>1.45026111</v>
      </c>
      <c r="K1378" s="154" t="inlineStr">
        <is>
          <t>Unread</t>
        </is>
      </c>
      <c r="L1378" s="158" t="n">
        <v>46195.66359459491</v>
      </c>
      <c r="M1378" s="154" t="inlineStr">
        <is>
          <t>69caa73b9d9e98a960ef43cc</t>
        </is>
      </c>
    </row>
    <row r="1379">
      <c r="A1379" s="154" t="inlineStr">
        <is>
          <t>Project Notos Clean Team</t>
        </is>
      </c>
      <c r="B1379" s="154" t="inlineStr">
        <is>
          <t>1.1.3.4.3</t>
        </is>
      </c>
      <c r="C1379" s="155" t="inlineStr">
        <is>
          <t>FT_Customer I 2022_20221021</t>
        </is>
      </c>
      <c r="D1379" s="156" t="n"/>
      <c r="E1379" s="156" t="n"/>
      <c r="F1379" s="157">
        <f>HYPERLINK("https://app.global.datasite.com/webviewer/?projectId=696652ec0dc07cc02daa26a0&amp;documentId=69caa279d82b3d6642f210d9","FT_Customer I 2022_20221021")</f>
        <v/>
      </c>
      <c r="G1379" s="154" t="inlineStr">
        <is>
          <t>DOCUMENT</t>
        </is>
      </c>
      <c r="H1379" s="154" t="inlineStr">
        <is>
          <t>pdf</t>
        </is>
      </c>
      <c r="I1379" s="154" t="inlineStr">
        <is>
          <t>DOWNLOAD</t>
        </is>
      </c>
      <c r="J1379" s="154" t="n">
        <v>7.2640953</v>
      </c>
      <c r="K1379" s="154" t="inlineStr">
        <is>
          <t>Unread</t>
        </is>
      </c>
      <c r="L1379" s="158" t="n">
        <v>46195.66359459491</v>
      </c>
      <c r="M1379" s="154" t="inlineStr">
        <is>
          <t>69caa279d82b3d6642f210d9</t>
        </is>
      </c>
    </row>
    <row r="1380">
      <c r="A1380" s="154" t="inlineStr">
        <is>
          <t>Project Notos Clean Team</t>
        </is>
      </c>
      <c r="B1380" s="154" t="inlineStr">
        <is>
          <t>1.1.3.4.4</t>
        </is>
      </c>
      <c r="C1380" s="155" t="inlineStr">
        <is>
          <t>FT_Sourcing Nomination Letter Customer I 20221021</t>
        </is>
      </c>
      <c r="D1380" s="156" t="n"/>
      <c r="E1380" s="156" t="n"/>
      <c r="F1380" s="157">
        <f>HYPERLINK("https://app.global.datasite.com/webviewer/?projectId=696652ec0dc07cc02daa26a0&amp;documentId=69caa2aa8fcb7339a241276e","FT_Sourcing Nomination Letter Customer I 20221021")</f>
        <v/>
      </c>
      <c r="G1380" s="154" t="inlineStr">
        <is>
          <t>DOCUMENT</t>
        </is>
      </c>
      <c r="H1380" s="154" t="inlineStr">
        <is>
          <t>pdf</t>
        </is>
      </c>
      <c r="I1380" s="154" t="inlineStr">
        <is>
          <t>DOWNLOAD</t>
        </is>
      </c>
      <c r="J1380" s="154" t="n">
        <v>2.40446186</v>
      </c>
      <c r="K1380" s="154" t="inlineStr">
        <is>
          <t>Unread</t>
        </is>
      </c>
      <c r="L1380" s="158" t="n">
        <v>46195.66359459491</v>
      </c>
      <c r="M1380" s="154" t="inlineStr">
        <is>
          <t>69caa2aa8fcb7339a241276e</t>
        </is>
      </c>
    </row>
    <row r="1381">
      <c r="A1381" s="154" t="inlineStr">
        <is>
          <t>Project Notos Clean Team</t>
        </is>
      </c>
      <c r="B1381" s="154" t="inlineStr">
        <is>
          <t>1.1.3.5</t>
        </is>
      </c>
      <c r="C1381" s="155" t="inlineStr">
        <is>
          <t>Customer R</t>
        </is>
      </c>
      <c r="D1381" s="156" t="n"/>
      <c r="E1381" s="156" t="n"/>
      <c r="F1381" s="157">
        <f>HYPERLINK("https://app.global.datasite.com/platform/container/696652ec0dc07cc02daa26a0/documents/content/index/69caa026f823513bf7f6a332","Customer R")</f>
        <v/>
      </c>
      <c r="G1381" s="154" t="inlineStr">
        <is>
          <t>FOLDER</t>
        </is>
      </c>
      <c r="H1381" s="154" t="n"/>
      <c r="I1381" s="154" t="inlineStr">
        <is>
          <t>DOWNLOAD</t>
        </is>
      </c>
      <c r="J1381" s="154" t="n"/>
      <c r="K1381" s="154" t="inlineStr">
        <is>
          <t>Unread</t>
        </is>
      </c>
      <c r="L1381" s="158" t="n">
        <v>46195.66359459491</v>
      </c>
      <c r="M1381" s="154" t="inlineStr">
        <is>
          <t>69caa026f823513bf7f6a332</t>
        </is>
      </c>
    </row>
    <row r="1382">
      <c r="A1382" s="154" t="inlineStr">
        <is>
          <t>Project Notos Clean Team</t>
        </is>
      </c>
      <c r="B1382" s="154" t="inlineStr">
        <is>
          <t>1.1.3.5.1</t>
        </is>
      </c>
      <c r="C1382" s="155" t="inlineStr">
        <is>
          <t>FT_Customer R - Master Purchase Agreement 2018</t>
        </is>
      </c>
      <c r="D1382" s="156" t="n"/>
      <c r="E1382" s="156" t="n"/>
      <c r="F1382" s="157">
        <f>HYPERLINK("https://app.global.datasite.com/webviewer/?projectId=696652ec0dc07cc02daa26a0&amp;documentId=69caa358d71dfed7bae84eb0","FT_Customer R - Master Purchase Agreement 2018")</f>
        <v/>
      </c>
      <c r="G1382" s="154" t="inlineStr">
        <is>
          <t>DOCUMENT</t>
        </is>
      </c>
      <c r="H1382" s="154" t="inlineStr">
        <is>
          <t>pdf</t>
        </is>
      </c>
      <c r="I1382" s="154" t="inlineStr">
        <is>
          <t>DOWNLOAD</t>
        </is>
      </c>
      <c r="J1382" s="154" t="n">
        <v>0.62967681</v>
      </c>
      <c r="K1382" s="154" t="inlineStr">
        <is>
          <t>Unread</t>
        </is>
      </c>
      <c r="L1382" s="158" t="n">
        <v>46195.66359459491</v>
      </c>
      <c r="M1382" s="154" t="inlineStr">
        <is>
          <t>69caa358d71dfed7bae84eb0</t>
        </is>
      </c>
    </row>
    <row r="1383">
      <c r="A1383" s="154" t="inlineStr">
        <is>
          <t>Project Notos Clean Team</t>
        </is>
      </c>
      <c r="B1383" s="154" t="inlineStr">
        <is>
          <t>1.1.3.6</t>
        </is>
      </c>
      <c r="C1383" s="155" t="inlineStr">
        <is>
          <t>Customer S</t>
        </is>
      </c>
      <c r="D1383" s="156" t="n"/>
      <c r="E1383" s="156" t="n"/>
      <c r="F1383" s="157">
        <f>HYPERLINK("https://app.global.datasite.com/platform/container/696652ec0dc07cc02daa26a0/documents/content/index/69caa0381937d5b42e54a626","Customer S")</f>
        <v/>
      </c>
      <c r="G1383" s="154" t="inlineStr">
        <is>
          <t>FOLDER</t>
        </is>
      </c>
      <c r="H1383" s="154" t="n"/>
      <c r="I1383" s="154" t="inlineStr">
        <is>
          <t>DOWNLOAD</t>
        </is>
      </c>
      <c r="J1383" s="154" t="n"/>
      <c r="K1383" s="154" t="inlineStr">
        <is>
          <t>Unread</t>
        </is>
      </c>
      <c r="L1383" s="158" t="n">
        <v>46195.66359459491</v>
      </c>
      <c r="M1383" s="154" t="inlineStr">
        <is>
          <t>69caa0381937d5b42e54a626</t>
        </is>
      </c>
    </row>
    <row r="1384">
      <c r="A1384" s="154" t="inlineStr">
        <is>
          <t>Project Notos Clean Team</t>
        </is>
      </c>
      <c r="B1384" s="154" t="inlineStr">
        <is>
          <t>1.1.3.6.1</t>
        </is>
      </c>
      <c r="C1384" s="155" t="inlineStr">
        <is>
          <t>FT_GPA + Appendix - signed from Customer S</t>
        </is>
      </c>
      <c r="D1384" s="156" t="n"/>
      <c r="E1384" s="156" t="n"/>
      <c r="F1384" s="157">
        <f>HYPERLINK("https://app.global.datasite.com/webviewer/?projectId=696652ec0dc07cc02daa26a0&amp;documentId=69caa685ce283fccb51ba4f4","FT_GPA + Appendix - signed from Customer S")</f>
        <v/>
      </c>
      <c r="G1384" s="154" t="inlineStr">
        <is>
          <t>DOCUMENT</t>
        </is>
      </c>
      <c r="H1384" s="154" t="inlineStr">
        <is>
          <t>pdf</t>
        </is>
      </c>
      <c r="I1384" s="154" t="inlineStr">
        <is>
          <t>DOWNLOAD</t>
        </is>
      </c>
      <c r="J1384" s="154" t="n">
        <v>2.21499156</v>
      </c>
      <c r="K1384" s="154" t="inlineStr">
        <is>
          <t>Unread</t>
        </is>
      </c>
      <c r="L1384" s="158" t="n">
        <v>46195.66359459491</v>
      </c>
      <c r="M1384" s="154" t="inlineStr">
        <is>
          <t>69caa685ce283fccb51ba4f4</t>
        </is>
      </c>
    </row>
    <row r="1385">
      <c r="A1385" s="154" t="inlineStr">
        <is>
          <t>Project Notos Clean Team</t>
        </is>
      </c>
      <c r="B1385" s="154" t="inlineStr">
        <is>
          <t>1.1.3.6.2</t>
        </is>
      </c>
      <c r="C1385" s="155" t="inlineStr">
        <is>
          <t>FT_General Purchase Agreement signed Customer S</t>
        </is>
      </c>
      <c r="D1385" s="156" t="n"/>
      <c r="E1385" s="156" t="n"/>
      <c r="F1385" s="157">
        <f>HYPERLINK("https://app.global.datasite.com/webviewer/?projectId=696652ec0dc07cc02daa26a0&amp;documentId=69caa6a8f2516408b58a441e","FT_General Purchase Agreement signed Customer S")</f>
        <v/>
      </c>
      <c r="G1385" s="154" t="inlineStr">
        <is>
          <t>DOCUMENT</t>
        </is>
      </c>
      <c r="H1385" s="154" t="inlineStr">
        <is>
          <t>pdf</t>
        </is>
      </c>
      <c r="I1385" s="154" t="inlineStr">
        <is>
          <t>DOWNLOAD</t>
        </is>
      </c>
      <c r="J1385" s="154" t="n">
        <v>2.09412765</v>
      </c>
      <c r="K1385" s="154" t="inlineStr">
        <is>
          <t>Unread</t>
        </is>
      </c>
      <c r="L1385" s="158" t="n">
        <v>46195.66359459491</v>
      </c>
      <c r="M1385" s="154" t="inlineStr">
        <is>
          <t>69caa6a8f2516408b58a441e</t>
        </is>
      </c>
    </row>
    <row r="1386">
      <c r="A1386" s="154" t="inlineStr">
        <is>
          <t>Project Notos Clean Team</t>
        </is>
      </c>
      <c r="B1386" s="154" t="inlineStr">
        <is>
          <t>1.1.3.6.3</t>
        </is>
      </c>
      <c r="C1386" s="155" t="inlineStr">
        <is>
          <t>FT_Nomination Agreement_Customer S_20230615</t>
        </is>
      </c>
      <c r="D1386" s="156" t="n"/>
      <c r="E1386" s="156" t="n"/>
      <c r="F1386" s="157">
        <f>HYPERLINK("https://app.global.datasite.com/webviewer/?projectId=696652ec0dc07cc02daa26a0&amp;documentId=69caa7a3d8173ff1179d94c2","FT_Nomination Agreement_Customer S_20230615")</f>
        <v/>
      </c>
      <c r="G1386" s="154" t="inlineStr">
        <is>
          <t>DOCUMENT</t>
        </is>
      </c>
      <c r="H1386" s="154" t="inlineStr">
        <is>
          <t>pdf</t>
        </is>
      </c>
      <c r="I1386" s="154" t="inlineStr">
        <is>
          <t>DOWNLOAD</t>
        </is>
      </c>
      <c r="J1386" s="154" t="n">
        <v>0.64005947</v>
      </c>
      <c r="K1386" s="154" t="inlineStr">
        <is>
          <t>Unread</t>
        </is>
      </c>
      <c r="L1386" s="158" t="n">
        <v>46195.66359459491</v>
      </c>
      <c r="M1386" s="154" t="inlineStr">
        <is>
          <t>69caa7a3d8173ff1179d94c2</t>
        </is>
      </c>
    </row>
    <row r="1387">
      <c r="A1387" s="154" t="inlineStr">
        <is>
          <t>Project Notos Clean Team</t>
        </is>
      </c>
      <c r="B1387" s="154" t="inlineStr">
        <is>
          <t>1.1.3.6.4</t>
        </is>
      </c>
      <c r="C1387" s="155" t="inlineStr">
        <is>
          <t>FT_Supplier Manual signed_Customer S</t>
        </is>
      </c>
      <c r="D1387" s="156" t="n"/>
      <c r="E1387" s="156" t="n"/>
      <c r="F1387" s="157">
        <f>HYPERLINK("https://app.global.datasite.com/webviewer/?projectId=696652ec0dc07cc02daa26a0&amp;documentId=69caa88117350af3e89edcbf","FT_Supplier Manual signed_Customer S")</f>
        <v/>
      </c>
      <c r="G1387" s="154" t="inlineStr">
        <is>
          <t>DOCUMENT</t>
        </is>
      </c>
      <c r="H1387" s="154" t="inlineStr">
        <is>
          <t>pdf</t>
        </is>
      </c>
      <c r="I1387" s="154" t="inlineStr">
        <is>
          <t>DOWNLOAD</t>
        </is>
      </c>
      <c r="J1387" s="154" t="n">
        <v>5.52714157</v>
      </c>
      <c r="K1387" s="154" t="inlineStr">
        <is>
          <t>Unread</t>
        </is>
      </c>
      <c r="L1387" s="158" t="n">
        <v>46195.66359459491</v>
      </c>
      <c r="M1387" s="154" t="inlineStr">
        <is>
          <t>69caa88117350af3e89edcbf</t>
        </is>
      </c>
    </row>
    <row r="1388">
      <c r="A1388" s="154" t="inlineStr">
        <is>
          <t>Project Notos Clean Team</t>
        </is>
      </c>
      <c r="B1388" s="154" t="inlineStr">
        <is>
          <t>1.1.3.7</t>
        </is>
      </c>
      <c r="C1388" s="155" t="inlineStr">
        <is>
          <t>Customer T</t>
        </is>
      </c>
      <c r="D1388" s="156" t="n"/>
      <c r="E1388" s="156" t="n"/>
      <c r="F1388" s="157">
        <f>HYPERLINK("https://app.global.datasite.com/platform/container/696652ec0dc07cc02daa26a0/documents/content/index/69caa466f823513bf7f6a40e","Customer T")</f>
        <v/>
      </c>
      <c r="G1388" s="154" t="inlineStr">
        <is>
          <t>FOLDER</t>
        </is>
      </c>
      <c r="H1388" s="154" t="n"/>
      <c r="I1388" s="154" t="inlineStr">
        <is>
          <t>DOWNLOAD</t>
        </is>
      </c>
      <c r="J1388" s="154" t="n"/>
      <c r="K1388" s="154" t="inlineStr">
        <is>
          <t>Unread</t>
        </is>
      </c>
      <c r="L1388" s="158" t="n">
        <v>46195.66359459491</v>
      </c>
      <c r="M1388" s="154" t="inlineStr">
        <is>
          <t>69caa466f823513bf7f6a40e</t>
        </is>
      </c>
    </row>
    <row r="1389">
      <c r="A1389" s="154" t="inlineStr">
        <is>
          <t>Project Notos Clean Team</t>
        </is>
      </c>
      <c r="B1389" s="154" t="inlineStr">
        <is>
          <t>1.1.3.7.1</t>
        </is>
      </c>
      <c r="C1389" s="155" t="inlineStr">
        <is>
          <t>FT_Global Terms_Customer T</t>
        </is>
      </c>
      <c r="D1389" s="156" t="n"/>
      <c r="E1389" s="156" t="n"/>
      <c r="F1389" s="157">
        <f>HYPERLINK("https://app.global.datasite.com/webviewer/?projectId=696652ec0dc07cc02daa26a0&amp;documentId=69caa5fcc5c018b6482b2343","FT_Global Terms_Customer T")</f>
        <v/>
      </c>
      <c r="G1389" s="154" t="inlineStr">
        <is>
          <t>DOCUMENT</t>
        </is>
      </c>
      <c r="H1389" s="154" t="inlineStr">
        <is>
          <t>pdf</t>
        </is>
      </c>
      <c r="I1389" s="154" t="inlineStr">
        <is>
          <t>DOWNLOAD</t>
        </is>
      </c>
      <c r="J1389" s="154" t="n">
        <v>0.17448425</v>
      </c>
      <c r="K1389" s="154" t="inlineStr">
        <is>
          <t>Unread</t>
        </is>
      </c>
      <c r="L1389" s="158" t="n">
        <v>46195.66359459491</v>
      </c>
      <c r="M1389" s="154" t="inlineStr">
        <is>
          <t>69caa5fcc5c018b6482b2343</t>
        </is>
      </c>
    </row>
    <row r="1390">
      <c r="A1390" s="154" t="inlineStr">
        <is>
          <t>Project Notos Clean Team</t>
        </is>
      </c>
      <c r="B1390" s="154" t="inlineStr">
        <is>
          <t>1.1.4</t>
        </is>
      </c>
      <c r="C1390" s="155" t="inlineStr">
        <is>
          <t>Rupert Fertinger (RF)</t>
        </is>
      </c>
      <c r="D1390" s="156" t="n"/>
      <c r="E1390" s="156" t="n"/>
      <c r="F1390" s="157">
        <f>HYPERLINK("https://app.global.datasite.com/platform/container/696652ec0dc07cc02daa26a0/documents/content/index/69ddf48bb18189068620b487","Rupert Fertinger (RF)")</f>
        <v/>
      </c>
      <c r="G1390" s="154" t="inlineStr">
        <is>
          <t>FOLDER</t>
        </is>
      </c>
      <c r="H1390" s="154" t="n"/>
      <c r="I1390" s="154" t="inlineStr">
        <is>
          <t>DOWNLOAD</t>
        </is>
      </c>
      <c r="J1390" s="154" t="n"/>
      <c r="K1390" s="154" t="inlineStr">
        <is>
          <t>Unread</t>
        </is>
      </c>
      <c r="L1390" s="158" t="n">
        <v>46195.66359459491</v>
      </c>
      <c r="M1390" s="154" t="inlineStr">
        <is>
          <t>69ddf48bb18189068620b487</t>
        </is>
      </c>
    </row>
    <row r="1391">
      <c r="A1391" s="154" t="inlineStr">
        <is>
          <t>Project Notos Clean Team</t>
        </is>
      </c>
      <c r="B1391" s="154" t="inlineStr">
        <is>
          <t>1.1.4.1</t>
        </is>
      </c>
      <c r="C1391" s="155" t="inlineStr">
        <is>
          <t>Customer F</t>
        </is>
      </c>
      <c r="D1391" s="156" t="n"/>
      <c r="E1391" s="156" t="n"/>
      <c r="F1391" s="157">
        <f>HYPERLINK("https://app.global.datasite.com/platform/container/696652ec0dc07cc02daa26a0/documents/content/index/69ddf5027e35a86a86a60dd3","Customer F")</f>
        <v/>
      </c>
      <c r="G1391" s="154" t="inlineStr">
        <is>
          <t>FOLDER</t>
        </is>
      </c>
      <c r="H1391" s="154" t="n"/>
      <c r="I1391" s="154" t="inlineStr">
        <is>
          <t>DOWNLOAD</t>
        </is>
      </c>
      <c r="J1391" s="154" t="n"/>
      <c r="K1391" s="154" t="inlineStr">
        <is>
          <t>Unread</t>
        </is>
      </c>
      <c r="L1391" s="158" t="n">
        <v>46195.66359459491</v>
      </c>
      <c r="M1391" s="154" t="inlineStr">
        <is>
          <t>69ddf5027e35a86a86a60dd3</t>
        </is>
      </c>
    </row>
    <row r="1392">
      <c r="A1392" s="154" t="inlineStr">
        <is>
          <t>Project Notos Clean Team</t>
        </is>
      </c>
      <c r="B1392" s="154" t="inlineStr">
        <is>
          <t>1.1.4.1.1</t>
        </is>
      </c>
      <c r="C1392" s="155" t="inlineStr">
        <is>
          <t>RF_Customer F_Werkzeug Leihvertrag_03.12.2015</t>
        </is>
      </c>
      <c r="D1392" s="156" t="n"/>
      <c r="E1392" s="156" t="n"/>
      <c r="F1392" s="157">
        <f>HYPERLINK("https://app.global.datasite.com/webviewer/?projectId=696652ec0dc07cc02daa26a0&amp;documentId=69ddfb4ebefadd96a769f8f5","RF_Customer F_Werkzeug Leihvertrag_03.12.2015")</f>
        <v/>
      </c>
      <c r="G1392" s="154" t="inlineStr">
        <is>
          <t>DOCUMENT</t>
        </is>
      </c>
      <c r="H1392" s="154" t="inlineStr">
        <is>
          <t>pdf</t>
        </is>
      </c>
      <c r="I1392" s="154" t="inlineStr">
        <is>
          <t>DOWNLOAD</t>
        </is>
      </c>
      <c r="J1392" s="154" t="n">
        <v>3.18008232</v>
      </c>
      <c r="K1392" s="154" t="inlineStr">
        <is>
          <t>Unread</t>
        </is>
      </c>
      <c r="L1392" s="158" t="n">
        <v>46195.66359459491</v>
      </c>
      <c r="M1392" s="154" t="inlineStr">
        <is>
          <t>69ddfb4ebefadd96a769f8f5</t>
        </is>
      </c>
    </row>
    <row r="1393">
      <c r="A1393" s="154" t="inlineStr">
        <is>
          <t>Project Notos Clean Team</t>
        </is>
      </c>
      <c r="B1393" s="154" t="inlineStr">
        <is>
          <t>1.1.4.2</t>
        </is>
      </c>
      <c r="C1393" s="155" t="inlineStr">
        <is>
          <t>Customer J</t>
        </is>
      </c>
      <c r="D1393" s="156" t="n"/>
      <c r="E1393" s="156" t="n"/>
      <c r="F1393" s="157">
        <f>HYPERLINK("https://app.global.datasite.com/platform/container/696652ec0dc07cc02daa26a0/documents/content/index/69ddf4c32cb8f7cec86a6024","Customer J")</f>
        <v/>
      </c>
      <c r="G1393" s="154" t="inlineStr">
        <is>
          <t>FOLDER</t>
        </is>
      </c>
      <c r="H1393" s="154" t="n"/>
      <c r="I1393" s="154" t="inlineStr">
        <is>
          <t>DOWNLOAD</t>
        </is>
      </c>
      <c r="J1393" s="154" t="n"/>
      <c r="K1393" s="154" t="inlineStr">
        <is>
          <t>Unread</t>
        </is>
      </c>
      <c r="L1393" s="158" t="n">
        <v>46195.66359459491</v>
      </c>
      <c r="M1393" s="154" t="inlineStr">
        <is>
          <t>69ddf4c32cb8f7cec86a6024</t>
        </is>
      </c>
    </row>
    <row r="1394">
      <c r="A1394" s="154" t="inlineStr">
        <is>
          <t>Project Notos Clean Team</t>
        </is>
      </c>
      <c r="B1394" s="154" t="inlineStr">
        <is>
          <t>1.1.4.2.1</t>
        </is>
      </c>
      <c r="C1394" s="155" t="inlineStr">
        <is>
          <t>RF_Customer J_ Werkzeugleihvertrag_21.11.2026/10.03.2023</t>
        </is>
      </c>
      <c r="D1394" s="156" t="n"/>
      <c r="E1394" s="156" t="n"/>
      <c r="F1394" s="157">
        <f>HYPERLINK("https://app.global.datasite.com/webviewer/?projectId=696652ec0dc07cc02daa26a0&amp;documentId=69ddfcb518ff73aa81e31529","RF_Customer J_ Werkzeugleihvertrag_21.11.2026/10.03.2023")</f>
        <v/>
      </c>
      <c r="G1394" s="154" t="inlineStr">
        <is>
          <t>DOCUMENT</t>
        </is>
      </c>
      <c r="H1394" s="154" t="inlineStr">
        <is>
          <t>pdf</t>
        </is>
      </c>
      <c r="I1394" s="154" t="inlineStr">
        <is>
          <t>DOWNLOAD</t>
        </is>
      </c>
      <c r="J1394" s="154" t="n">
        <v>1.89673995</v>
      </c>
      <c r="K1394" s="154" t="inlineStr">
        <is>
          <t>Unread</t>
        </is>
      </c>
      <c r="L1394" s="158" t="n">
        <v>46195.66359459491</v>
      </c>
      <c r="M1394" s="154" t="inlineStr">
        <is>
          <t>69ddfcb518ff73aa81e31529</t>
        </is>
      </c>
    </row>
    <row r="1395">
      <c r="A1395" s="154" t="inlineStr">
        <is>
          <t>Project Notos Clean Team</t>
        </is>
      </c>
      <c r="B1395" s="154" t="inlineStr">
        <is>
          <t>1.1.4.2.2</t>
        </is>
      </c>
      <c r="C1395" s="155" t="inlineStr">
        <is>
          <t>RF:Customer J__Frame Agreement_02.05.2023</t>
        </is>
      </c>
      <c r="D1395" s="156" t="n"/>
      <c r="E1395" s="156" t="n"/>
      <c r="F1395" s="157">
        <f>HYPERLINK("https://app.global.datasite.com/webviewer/?projectId=696652ec0dc07cc02daa26a0&amp;documentId=69ddf5a9b465b2c9f9f90dfe","RF:Customer J__Frame Agreement_02.05.2023")</f>
        <v/>
      </c>
      <c r="G1395" s="154" t="inlineStr">
        <is>
          <t>DOCUMENT</t>
        </is>
      </c>
      <c r="H1395" s="154" t="inlineStr">
        <is>
          <t>pdf</t>
        </is>
      </c>
      <c r="I1395" s="154" t="inlineStr">
        <is>
          <t>DOWNLOAD</t>
        </is>
      </c>
      <c r="J1395" s="154" t="n">
        <v>2.50085449</v>
      </c>
      <c r="K1395" s="154" t="inlineStr">
        <is>
          <t>Unread</t>
        </is>
      </c>
      <c r="L1395" s="158" t="n">
        <v>46195.66359459491</v>
      </c>
      <c r="M1395" s="154" t="inlineStr">
        <is>
          <t>69ddf5a9b465b2c9f9f90dfe</t>
        </is>
      </c>
    </row>
    <row r="1396">
      <c r="A1396" s="154" t="inlineStr">
        <is>
          <t>Project Notos Clean Team</t>
        </is>
      </c>
      <c r="B1396" s="154" t="inlineStr">
        <is>
          <t>1.1.4.2.3</t>
        </is>
      </c>
      <c r="C1396" s="155" t="inlineStr">
        <is>
          <t>RF_Customer J_Qualitätssicherungsvereinbarung_01.12.2023</t>
        </is>
      </c>
      <c r="D1396" s="156" t="n"/>
      <c r="E1396" s="156" t="n"/>
      <c r="F1396" s="157">
        <f>HYPERLINK("https://app.global.datasite.com/webviewer/?projectId=696652ec0dc07cc02daa26a0&amp;documentId=69ddf4b3a74834c657cccdc6","RF_Customer J_Qualitätssicherungsvereinbarung_01.12.2023")</f>
        <v/>
      </c>
      <c r="G1396" s="154" t="inlineStr">
        <is>
          <t>DOCUMENT</t>
        </is>
      </c>
      <c r="H1396" s="154" t="inlineStr">
        <is>
          <t>pdf</t>
        </is>
      </c>
      <c r="I1396" s="154" t="inlineStr">
        <is>
          <t>DOWNLOAD</t>
        </is>
      </c>
      <c r="J1396" s="154" t="n">
        <v>6.06702041</v>
      </c>
      <c r="K1396" s="154" t="inlineStr">
        <is>
          <t>Unread</t>
        </is>
      </c>
      <c r="L1396" s="158" t="n">
        <v>46195.66359459491</v>
      </c>
      <c r="M1396" s="154" t="inlineStr">
        <is>
          <t>69ddf4b3a74834c657cccdc6</t>
        </is>
      </c>
    </row>
    <row r="1397">
      <c r="A1397" s="154" t="inlineStr">
        <is>
          <t>Project Notos Clean Team</t>
        </is>
      </c>
      <c r="B1397" s="154" t="inlineStr">
        <is>
          <t>1.1.4.2.4</t>
        </is>
      </c>
      <c r="C1397" s="155" t="inlineStr">
        <is>
          <t>RF_Nomination Letter Customer J 2018</t>
        </is>
      </c>
      <c r="D1397" s="156" t="n"/>
      <c r="E1397" s="156" t="n"/>
      <c r="F1397" s="157">
        <f>HYPERLINK("https://app.global.datasite.com/webviewer/?projectId=696652ec0dc07cc02daa26a0&amp;documentId=69ddf4b3a74834c657cccdc7","RF_Nomination Letter Customer J 2018")</f>
        <v/>
      </c>
      <c r="G1397" s="154" t="inlineStr">
        <is>
          <t>DOCUMENT</t>
        </is>
      </c>
      <c r="H1397" s="154" t="inlineStr">
        <is>
          <t>pdf</t>
        </is>
      </c>
      <c r="I1397" s="154" t="inlineStr">
        <is>
          <t>DOWNLOAD</t>
        </is>
      </c>
      <c r="J1397" s="154" t="n">
        <v>1.89602756</v>
      </c>
      <c r="K1397" s="154" t="inlineStr">
        <is>
          <t>Unread</t>
        </is>
      </c>
      <c r="L1397" s="158" t="n">
        <v>46195.66359459491</v>
      </c>
      <c r="M1397" s="154" t="inlineStr">
        <is>
          <t>69ddf4b3a74834c657cccdc7</t>
        </is>
      </c>
    </row>
    <row r="1398">
      <c r="A1398" s="154" t="inlineStr">
        <is>
          <t>Project Notos Clean Team</t>
        </is>
      </c>
      <c r="B1398" s="154" t="inlineStr">
        <is>
          <t>1.1.4.3</t>
        </is>
      </c>
      <c r="C1398" s="155" t="inlineStr">
        <is>
          <t>Customer K</t>
        </is>
      </c>
      <c r="D1398" s="156" t="n"/>
      <c r="E1398" s="156" t="n"/>
      <c r="F1398" s="157">
        <f>HYPERLINK("https://app.global.datasite.com/platform/container/696652ec0dc07cc02daa26a0/documents/content/index/69f3078e66bee3b693c82518","Customer K")</f>
        <v/>
      </c>
      <c r="G1398" s="154" t="inlineStr">
        <is>
          <t>FOLDER</t>
        </is>
      </c>
      <c r="H1398" s="154" t="n"/>
      <c r="I1398" s="154" t="inlineStr">
        <is>
          <t>DOWNLOAD</t>
        </is>
      </c>
      <c r="J1398" s="154" t="n"/>
      <c r="K1398" s="154" t="inlineStr">
        <is>
          <t>Unread</t>
        </is>
      </c>
      <c r="L1398" s="158" t="n">
        <v>46195.66359459491</v>
      </c>
      <c r="M1398" s="154" t="inlineStr">
        <is>
          <t>69f3078e66bee3b693c82518</t>
        </is>
      </c>
    </row>
    <row r="1399">
      <c r="A1399" s="154" t="inlineStr">
        <is>
          <t>Project Notos Clean Team</t>
        </is>
      </c>
      <c r="B1399" s="154" t="inlineStr">
        <is>
          <t>1.1.4.3.1</t>
        </is>
      </c>
      <c r="C1399" s="155" t="inlineStr">
        <is>
          <t>RF_Customer K_MOU_04.04.2019</t>
        </is>
      </c>
      <c r="D1399" s="156" t="n"/>
      <c r="E1399" s="156" t="n"/>
      <c r="F1399" s="157">
        <f>HYPERLINK("https://app.global.datasite.com/webviewer/?projectId=696652ec0dc07cc02daa26a0&amp;documentId=69ddf4b3a74834c657cccdd0","RF_Customer K_MOU_04.04.2019")</f>
        <v/>
      </c>
      <c r="G1399" s="154" t="inlineStr">
        <is>
          <t>DOCUMENT</t>
        </is>
      </c>
      <c r="H1399" s="154" t="inlineStr">
        <is>
          <t>pdf</t>
        </is>
      </c>
      <c r="I1399" s="154" t="inlineStr">
        <is>
          <t>DOWNLOAD</t>
        </is>
      </c>
      <c r="J1399" s="154" t="n">
        <v>3.0674057</v>
      </c>
      <c r="K1399" s="154" t="inlineStr">
        <is>
          <t>Unread</t>
        </is>
      </c>
      <c r="L1399" s="158" t="n">
        <v>46195.66359459491</v>
      </c>
      <c r="M1399" s="154" t="inlineStr">
        <is>
          <t>69ddf4b3a74834c657cccdd0</t>
        </is>
      </c>
    </row>
    <row r="1400">
      <c r="A1400" s="154" t="inlineStr">
        <is>
          <t>Project Notos Clean Team</t>
        </is>
      </c>
      <c r="B1400" s="154" t="inlineStr">
        <is>
          <t>1.1.4.3.2</t>
        </is>
      </c>
      <c r="C1400" s="155" t="inlineStr">
        <is>
          <t>RF_Customer K_Werkzeugvertrag_25.06.2024</t>
        </is>
      </c>
      <c r="D1400" s="156" t="n"/>
      <c r="E1400" s="156" t="n"/>
      <c r="F1400" s="157">
        <f>HYPERLINK("https://app.global.datasite.com/webviewer/?projectId=696652ec0dc07cc02daa26a0&amp;documentId=69ddf9a694bf4c0cbaca5116","RF_Customer K_Werkzeugvertrag_25.06.2024")</f>
        <v/>
      </c>
      <c r="G1400" s="154" t="inlineStr">
        <is>
          <t>DOCUMENT</t>
        </is>
      </c>
      <c r="H1400" s="154" t="inlineStr">
        <is>
          <t>pdf</t>
        </is>
      </c>
      <c r="I1400" s="154" t="inlineStr">
        <is>
          <t>DOWNLOAD</t>
        </is>
      </c>
      <c r="J1400" s="154" t="n">
        <v>3.06888198</v>
      </c>
      <c r="K1400" s="154" t="inlineStr">
        <is>
          <t>Unread</t>
        </is>
      </c>
      <c r="L1400" s="158" t="n">
        <v>46195.66359459491</v>
      </c>
      <c r="M1400" s="154" t="inlineStr">
        <is>
          <t>69ddf9a694bf4c0cbaca5116</t>
        </is>
      </c>
    </row>
    <row r="1401">
      <c r="A1401" s="154" t="inlineStr">
        <is>
          <t>Project Notos Clean Team</t>
        </is>
      </c>
      <c r="B1401" s="154" t="inlineStr">
        <is>
          <t>1.1.4.3.3</t>
        </is>
      </c>
      <c r="C1401" s="155" t="inlineStr">
        <is>
          <t>RF_Customer K_Rahmenvertrag_12.12.2028/21.03.2019</t>
        </is>
      </c>
      <c r="D1401" s="156" t="n"/>
      <c r="E1401" s="156" t="n"/>
      <c r="F1401" s="157">
        <f>HYPERLINK("https://app.global.datasite.com/webviewer/?projectId=696652ec0dc07cc02daa26a0&amp;documentId=69ddf9a694bf4c0cbaca5114","RF_Customer K_Rahmenvertrag_12.12.2028/21.03.2019")</f>
        <v/>
      </c>
      <c r="G1401" s="154" t="inlineStr">
        <is>
          <t>DOCUMENT</t>
        </is>
      </c>
      <c r="H1401" s="154" t="inlineStr">
        <is>
          <t>pdf</t>
        </is>
      </c>
      <c r="I1401" s="154" t="inlineStr">
        <is>
          <t>DOWNLOAD</t>
        </is>
      </c>
      <c r="J1401" s="154" t="n">
        <v>2.85359477</v>
      </c>
      <c r="K1401" s="154" t="inlineStr">
        <is>
          <t>Unread</t>
        </is>
      </c>
      <c r="L1401" s="158" t="n">
        <v>46195.66359459491</v>
      </c>
      <c r="M1401" s="154" t="inlineStr">
        <is>
          <t>69ddf9a694bf4c0cbaca5114</t>
        </is>
      </c>
    </row>
    <row r="1402">
      <c r="A1402" s="154" t="inlineStr">
        <is>
          <t>Project Notos Clean Team</t>
        </is>
      </c>
      <c r="B1402" s="154" t="inlineStr">
        <is>
          <t>1.1.4.4</t>
        </is>
      </c>
      <c r="C1402" s="155" t="inlineStr">
        <is>
          <t>Customer O</t>
        </is>
      </c>
      <c r="D1402" s="156" t="n"/>
      <c r="E1402" s="156" t="n"/>
      <c r="F1402" s="157">
        <f>HYPERLINK("https://app.global.datasite.com/platform/container/696652ec0dc07cc02daa26a0/documents/content/index/69ddf4f7befadd96a769f740","Customer O")</f>
        <v/>
      </c>
      <c r="G1402" s="154" t="inlineStr">
        <is>
          <t>FOLDER</t>
        </is>
      </c>
      <c r="H1402" s="154" t="n"/>
      <c r="I1402" s="154" t="inlineStr">
        <is>
          <t>DOWNLOAD</t>
        </is>
      </c>
      <c r="J1402" s="154" t="n"/>
      <c r="K1402" s="154" t="inlineStr">
        <is>
          <t>Unread</t>
        </is>
      </c>
      <c r="L1402" s="158" t="n">
        <v>46195.66359459491</v>
      </c>
      <c r="M1402" s="154" t="inlineStr">
        <is>
          <t>69ddf4f7befadd96a769f740</t>
        </is>
      </c>
    </row>
    <row r="1403">
      <c r="A1403" s="154" t="inlineStr">
        <is>
          <t>Project Notos Clean Team</t>
        </is>
      </c>
      <c r="B1403" s="154" t="inlineStr">
        <is>
          <t>1.1.4.4.1</t>
        </is>
      </c>
      <c r="C1403" s="155" t="inlineStr">
        <is>
          <t>RF_Customer O_Master Supply Agreement_27.04.2015</t>
        </is>
      </c>
      <c r="D1403" s="156" t="n"/>
      <c r="E1403" s="156" t="n"/>
      <c r="F1403" s="157">
        <f>HYPERLINK("https://app.global.datasite.com/webviewer/?projectId=696652ec0dc07cc02daa26a0&amp;documentId=69ddfb03a1dd2fcd2104b704","RF_Customer O_Master Supply Agreement_27.04.2015")</f>
        <v/>
      </c>
      <c r="G1403" s="154" t="inlineStr">
        <is>
          <t>DOCUMENT</t>
        </is>
      </c>
      <c r="H1403" s="154" t="inlineStr">
        <is>
          <t>pdf</t>
        </is>
      </c>
      <c r="I1403" s="154" t="inlineStr">
        <is>
          <t>DOWNLOAD</t>
        </is>
      </c>
      <c r="J1403" s="154" t="n">
        <v>1.14484882</v>
      </c>
      <c r="K1403" s="154" t="inlineStr">
        <is>
          <t>Unread</t>
        </is>
      </c>
      <c r="L1403" s="158" t="n">
        <v>46195.66359459491</v>
      </c>
      <c r="M1403" s="154" t="inlineStr">
        <is>
          <t>69ddfb03a1dd2fcd2104b704</t>
        </is>
      </c>
    </row>
    <row r="1404">
      <c r="A1404" s="154" t="inlineStr">
        <is>
          <t>Project Notos Clean Team</t>
        </is>
      </c>
      <c r="B1404" s="154" t="inlineStr">
        <is>
          <t>1.1.4.4.2</t>
        </is>
      </c>
      <c r="C1404" s="155" t="inlineStr">
        <is>
          <t>RF_Customer O_Tooling Agreement</t>
        </is>
      </c>
      <c r="D1404" s="156" t="n"/>
      <c r="E1404" s="156" t="n"/>
      <c r="F1404" s="157">
        <f>HYPERLINK("https://app.global.datasite.com/webviewer/?projectId=696652ec0dc07cc02daa26a0&amp;documentId=69e212b2291010648b676f85","RF_Customer O_Tooling Agreement")</f>
        <v/>
      </c>
      <c r="G1404" s="154" t="inlineStr">
        <is>
          <t>DOCUMENT</t>
        </is>
      </c>
      <c r="H1404" s="154" t="inlineStr">
        <is>
          <t>pdf</t>
        </is>
      </c>
      <c r="I1404" s="154" t="inlineStr">
        <is>
          <t>DOWNLOAD</t>
        </is>
      </c>
      <c r="J1404" s="154" t="n">
        <v>3.04385757</v>
      </c>
      <c r="K1404" s="154" t="inlineStr">
        <is>
          <t>Unread</t>
        </is>
      </c>
      <c r="L1404" s="158" t="n">
        <v>46195.66359459491</v>
      </c>
      <c r="M1404" s="154" t="inlineStr">
        <is>
          <t>69e212b2291010648b676f85</t>
        </is>
      </c>
    </row>
    <row r="1405">
      <c r="A1405" s="154" t="inlineStr">
        <is>
          <t>Project Notos Clean Team</t>
        </is>
      </c>
      <c r="B1405" s="154" t="inlineStr">
        <is>
          <t>1.1.4.4.3</t>
        </is>
      </c>
      <c r="C1405" s="155" t="inlineStr">
        <is>
          <t>RF_Customer O_QAA</t>
        </is>
      </c>
      <c r="D1405" s="156" t="n"/>
      <c r="E1405" s="156" t="n"/>
      <c r="F1405" s="157">
        <f>HYPERLINK("https://app.global.datasite.com/webviewer/?projectId=696652ec0dc07cc02daa26a0&amp;documentId=69e212b2291010648b676f86","RF_Customer O_QAA")</f>
        <v/>
      </c>
      <c r="G1405" s="154" t="inlineStr">
        <is>
          <t>DOCUMENT</t>
        </is>
      </c>
      <c r="H1405" s="154" t="inlineStr">
        <is>
          <t>pdf</t>
        </is>
      </c>
      <c r="I1405" s="154" t="inlineStr">
        <is>
          <t>DOWNLOAD</t>
        </is>
      </c>
      <c r="J1405" s="154" t="n">
        <v>5.05743598</v>
      </c>
      <c r="K1405" s="154" t="inlineStr">
        <is>
          <t>Unread</t>
        </is>
      </c>
      <c r="L1405" s="158" t="n">
        <v>46195.66359459491</v>
      </c>
      <c r="M1405" s="154" t="inlineStr">
        <is>
          <t>69e212b2291010648b676f86</t>
        </is>
      </c>
    </row>
    <row r="1406">
      <c r="A1406" s="154" t="inlineStr">
        <is>
          <t>Project Notos Clean Team</t>
        </is>
      </c>
      <c r="B1406" s="154" t="inlineStr">
        <is>
          <t>1.1.4.4.4</t>
        </is>
      </c>
      <c r="C1406" s="155" t="inlineStr">
        <is>
          <t>RF_Customer O_12.12.2018</t>
        </is>
      </c>
      <c r="D1406" s="156" t="n"/>
      <c r="E1406" s="156" t="n"/>
      <c r="F1406" s="157">
        <f>HYPERLINK("https://app.global.datasite.com/webviewer/?projectId=696652ec0dc07cc02daa26a0&amp;documentId=69ddf4b3a74834c657cccdd1","RF_Customer O_12.12.2018")</f>
        <v/>
      </c>
      <c r="G1406" s="154" t="inlineStr">
        <is>
          <t>DOCUMENT</t>
        </is>
      </c>
      <c r="H1406" s="154" t="inlineStr">
        <is>
          <t>pdf</t>
        </is>
      </c>
      <c r="I1406" s="154" t="inlineStr">
        <is>
          <t>DOWNLOAD</t>
        </is>
      </c>
      <c r="J1406" s="154" t="n">
        <v>1.20002365</v>
      </c>
      <c r="K1406" s="154" t="inlineStr">
        <is>
          <t>Unread</t>
        </is>
      </c>
      <c r="L1406" s="158" t="n">
        <v>46195.66359459491</v>
      </c>
      <c r="M1406" s="154" t="inlineStr">
        <is>
          <t>69ddf4b3a74834c657cccdd1</t>
        </is>
      </c>
    </row>
    <row r="1407">
      <c r="A1407" s="154" t="inlineStr">
        <is>
          <t>Project Notos Clean Team</t>
        </is>
      </c>
      <c r="B1407" s="154" t="inlineStr">
        <is>
          <t>1.1.4.5</t>
        </is>
      </c>
      <c r="C1407" s="155" t="inlineStr">
        <is>
          <t>Customer Q</t>
        </is>
      </c>
      <c r="D1407" s="156" t="n"/>
      <c r="E1407" s="156" t="n"/>
      <c r="F1407" s="157">
        <f>HYPERLINK("https://app.global.datasite.com/platform/container/696652ec0dc07cc02daa26a0/documents/content/index/69ddf4ccf1775b1debb11f83","Customer Q")</f>
        <v/>
      </c>
      <c r="G1407" s="154" t="inlineStr">
        <is>
          <t>FOLDER</t>
        </is>
      </c>
      <c r="H1407" s="154" t="n"/>
      <c r="I1407" s="154" t="inlineStr">
        <is>
          <t>DOWNLOAD</t>
        </is>
      </c>
      <c r="J1407" s="154" t="n"/>
      <c r="K1407" s="154" t="inlineStr">
        <is>
          <t>Unread</t>
        </is>
      </c>
      <c r="L1407" s="158" t="n">
        <v>46195.66359459491</v>
      </c>
      <c r="M1407" s="154" t="inlineStr">
        <is>
          <t>69ddf4ccf1775b1debb11f83</t>
        </is>
      </c>
    </row>
    <row r="1408">
      <c r="A1408" s="154" t="inlineStr">
        <is>
          <t>Project Notos Clean Team</t>
        </is>
      </c>
      <c r="B1408" s="154" t="inlineStr">
        <is>
          <t>1.1.4.5.1</t>
        </is>
      </c>
      <c r="C1408" s="155" t="inlineStr">
        <is>
          <t>RF_Customer Q QAA_14.12.2018</t>
        </is>
      </c>
      <c r="D1408" s="156" t="n"/>
      <c r="E1408" s="156" t="n"/>
      <c r="F1408" s="157">
        <f>HYPERLINK("https://app.global.datasite.com/webviewer/?projectId=696652ec0dc07cc02daa26a0&amp;documentId=69ddf4b3a74834c657cccdc8","RF_Customer Q QAA_14.12.2018")</f>
        <v/>
      </c>
      <c r="G1408" s="154" t="inlineStr">
        <is>
          <t>DOCUMENT</t>
        </is>
      </c>
      <c r="H1408" s="154" t="inlineStr">
        <is>
          <t>pdf</t>
        </is>
      </c>
      <c r="I1408" s="154" t="inlineStr">
        <is>
          <t>DOWNLOAD</t>
        </is>
      </c>
      <c r="J1408" s="154" t="n">
        <v>0.71057987</v>
      </c>
      <c r="K1408" s="154" t="inlineStr">
        <is>
          <t>Unread</t>
        </is>
      </c>
      <c r="L1408" s="158" t="n">
        <v>46195.66359459491</v>
      </c>
      <c r="M1408" s="154" t="inlineStr">
        <is>
          <t>69ddf4b3a74834c657cccdc8</t>
        </is>
      </c>
    </row>
    <row r="1409">
      <c r="A1409" s="154" t="inlineStr">
        <is>
          <t>Project Notos Clean Team</t>
        </is>
      </c>
      <c r="B1409" s="154" t="inlineStr">
        <is>
          <t>1.1.4.5.2</t>
        </is>
      </c>
      <c r="C1409" s="155" t="inlineStr">
        <is>
          <t>RF_Customer Q 2025</t>
        </is>
      </c>
      <c r="D1409" s="156" t="n"/>
      <c r="E1409" s="156" t="n"/>
      <c r="F1409" s="157">
        <f>HYPERLINK("https://app.global.datasite.com/webviewer/?projectId=696652ec0dc07cc02daa26a0&amp;documentId=69ddf654a58bbed6b3c4c62c","RF_Customer Q 2025")</f>
        <v/>
      </c>
      <c r="G1409" s="154" t="inlineStr">
        <is>
          <t>DOCUMENT</t>
        </is>
      </c>
      <c r="H1409" s="154" t="inlineStr">
        <is>
          <t>pdf</t>
        </is>
      </c>
      <c r="I1409" s="154" t="inlineStr">
        <is>
          <t>DOWNLOAD</t>
        </is>
      </c>
      <c r="J1409" s="154" t="n">
        <v>2.98876857</v>
      </c>
      <c r="K1409" s="154" t="inlineStr">
        <is>
          <t>Unread</t>
        </is>
      </c>
      <c r="L1409" s="158" t="n">
        <v>46195.66359459491</v>
      </c>
      <c r="M1409" s="154" t="inlineStr">
        <is>
          <t>69ddf654a58bbed6b3c4c62c</t>
        </is>
      </c>
    </row>
    <row r="1410">
      <c r="A1410" s="154" t="inlineStr">
        <is>
          <t>Project Notos Clean Team</t>
        </is>
      </c>
      <c r="B1410" s="154" t="inlineStr">
        <is>
          <t>1.1.4.6</t>
        </is>
      </c>
      <c r="C1410" s="155" t="inlineStr">
        <is>
          <t>Customer W</t>
        </is>
      </c>
      <c r="D1410" s="156" t="n"/>
      <c r="E1410" s="156" t="n"/>
      <c r="F1410" s="157">
        <f>HYPERLINK("https://app.global.datasite.com/platform/container/696652ec0dc07cc02daa26a0/documents/content/index/69ddf4daa58bbed6b3c4c559","Customer W")</f>
        <v/>
      </c>
      <c r="G1410" s="154" t="inlineStr">
        <is>
          <t>FOLDER</t>
        </is>
      </c>
      <c r="H1410" s="154" t="n"/>
      <c r="I1410" s="154" t="inlineStr">
        <is>
          <t>DOWNLOAD</t>
        </is>
      </c>
      <c r="J1410" s="154" t="n"/>
      <c r="K1410" s="154" t="inlineStr">
        <is>
          <t>Unread</t>
        </is>
      </c>
      <c r="L1410" s="158" t="n">
        <v>46195.66359459491</v>
      </c>
      <c r="M1410" s="154" t="inlineStr">
        <is>
          <t>69ddf4daa58bbed6b3c4c559</t>
        </is>
      </c>
    </row>
    <row r="1411">
      <c r="A1411" s="154" t="inlineStr">
        <is>
          <t>Project Notos Clean Team</t>
        </is>
      </c>
      <c r="B1411" s="154" t="inlineStr">
        <is>
          <t>1.1.4.6.1</t>
        </is>
      </c>
      <c r="C1411" s="155" t="inlineStr">
        <is>
          <t>RF_Customer W_Supplementary Agreement_Signed_07.05.2020</t>
        </is>
      </c>
      <c r="D1411" s="156" t="n"/>
      <c r="E1411" s="156" t="n"/>
      <c r="F1411" s="157">
        <f>HYPERLINK("https://app.global.datasite.com/webviewer/?projectId=696652ec0dc07cc02daa26a0&amp;documentId=69ddf876b465b2c9f9f90ed1","RF_Customer W_Supplementary Agreement_Signed_07.05.2020")</f>
        <v/>
      </c>
      <c r="G1411" s="154" t="inlineStr">
        <is>
          <t>DOCUMENT</t>
        </is>
      </c>
      <c r="H1411" s="154" t="inlineStr">
        <is>
          <t>pdf</t>
        </is>
      </c>
      <c r="I1411" s="154" t="inlineStr">
        <is>
          <t>DOWNLOAD</t>
        </is>
      </c>
      <c r="J1411" s="154" t="n">
        <v>0.6257371900000001</v>
      </c>
      <c r="K1411" s="154" t="inlineStr">
        <is>
          <t>Unread</t>
        </is>
      </c>
      <c r="L1411" s="158" t="n">
        <v>46195.66359459491</v>
      </c>
      <c r="M1411" s="154" t="inlineStr">
        <is>
          <t>69ddf876b465b2c9f9f90ed1</t>
        </is>
      </c>
    </row>
    <row r="1412">
      <c r="A1412" s="154" t="inlineStr">
        <is>
          <t>Project Notos Clean Team</t>
        </is>
      </c>
      <c r="B1412" s="154" t="inlineStr">
        <is>
          <t>1.1.4.6.2</t>
        </is>
      </c>
      <c r="C1412" s="155" t="inlineStr">
        <is>
          <t>RF_Customer W_GTC_Signed_07.05.2020</t>
        </is>
      </c>
      <c r="D1412" s="156" t="n"/>
      <c r="E1412" s="156" t="n"/>
      <c r="F1412" s="157">
        <f>HYPERLINK("https://app.global.datasite.com/webviewer/?projectId=696652ec0dc07cc02daa26a0&amp;documentId=69ddf876b465b2c9f9f90ed0","RF_Customer W_GTC_Signed_07.05.2020")</f>
        <v/>
      </c>
      <c r="G1412" s="154" t="inlineStr">
        <is>
          <t>DOCUMENT</t>
        </is>
      </c>
      <c r="H1412" s="154" t="inlineStr">
        <is>
          <t>pdf</t>
        </is>
      </c>
      <c r="I1412" s="154" t="inlineStr">
        <is>
          <t>DOWNLOAD</t>
        </is>
      </c>
      <c r="J1412" s="154" t="n">
        <v>14.05854606</v>
      </c>
      <c r="K1412" s="154" t="inlineStr">
        <is>
          <t>Unread</t>
        </is>
      </c>
      <c r="L1412" s="158" t="n">
        <v>46195.66359459491</v>
      </c>
      <c r="M1412" s="154" t="inlineStr">
        <is>
          <t>69ddf876b465b2c9f9f90ed0</t>
        </is>
      </c>
    </row>
    <row r="1413">
      <c r="A1413" s="154" t="inlineStr">
        <is>
          <t>Project Notos Clean Team</t>
        </is>
      </c>
      <c r="B1413" s="154" t="inlineStr">
        <is>
          <t>1.1.4.6.3</t>
        </is>
      </c>
      <c r="C1413" s="155" t="inlineStr">
        <is>
          <t>RF_Customer W_Nomination Letter_18.05.2022</t>
        </is>
      </c>
      <c r="D1413" s="156" t="n"/>
      <c r="E1413" s="156" t="n"/>
      <c r="F1413" s="157">
        <f>HYPERLINK("https://app.global.datasite.com/webviewer/?projectId=696652ec0dc07cc02daa26a0&amp;documentId=69ddf7acb18189068620b569","RF_Customer W_Nomination Letter_18.05.2022")</f>
        <v/>
      </c>
      <c r="G1413" s="154" t="inlineStr">
        <is>
          <t>DOCUMENT</t>
        </is>
      </c>
      <c r="H1413" s="154" t="inlineStr">
        <is>
          <t>pdf</t>
        </is>
      </c>
      <c r="I1413" s="154" t="inlineStr">
        <is>
          <t>DOWNLOAD</t>
        </is>
      </c>
      <c r="J1413" s="154" t="n">
        <v>0.99117088</v>
      </c>
      <c r="K1413" s="154" t="inlineStr">
        <is>
          <t>Unread</t>
        </is>
      </c>
      <c r="L1413" s="158" t="n">
        <v>46195.66359459491</v>
      </c>
      <c r="M1413" s="154" t="inlineStr">
        <is>
          <t>69ddf7acb18189068620b569</t>
        </is>
      </c>
    </row>
    <row r="1414">
      <c r="A1414" s="154" t="inlineStr">
        <is>
          <t>Project Notos Clean Team</t>
        </is>
      </c>
      <c r="B1414" s="154" t="inlineStr">
        <is>
          <t>1.2</t>
        </is>
      </c>
      <c r="C1414" s="155" t="inlineStr">
        <is>
          <t>Suppliers</t>
        </is>
      </c>
      <c r="D1414" s="156" t="n"/>
      <c r="E1414" s="156" t="n"/>
      <c r="F1414" s="157">
        <f>HYPERLINK("https://app.global.datasite.com/platform/container/696652ec0dc07cc02daa26a0/documents/content/index/69cbcc541937d5b42e553e35","Suppliers")</f>
        <v/>
      </c>
      <c r="G1414" s="154" t="inlineStr">
        <is>
          <t>FOLDER</t>
        </is>
      </c>
      <c r="H1414" s="154" t="n"/>
      <c r="I1414" s="154" t="inlineStr">
        <is>
          <t>DOWNLOAD</t>
        </is>
      </c>
      <c r="J1414" s="154" t="n"/>
      <c r="K1414" s="154" t="inlineStr">
        <is>
          <t>Unread</t>
        </is>
      </c>
      <c r="L1414" s="158" t="n">
        <v>46195.66359459491</v>
      </c>
      <c r="M1414" s="154" t="inlineStr">
        <is>
          <t>69cbcc541937d5b42e553e35</t>
        </is>
      </c>
    </row>
    <row r="1415">
      <c r="A1415" s="154" t="inlineStr">
        <is>
          <t>Project Notos Clean Team</t>
        </is>
      </c>
      <c r="B1415" s="154" t="inlineStr">
        <is>
          <t>1.2.1</t>
        </is>
      </c>
      <c r="C1415" s="155" t="inlineStr">
        <is>
          <t>ITT</t>
        </is>
      </c>
      <c r="D1415" s="156" t="n"/>
      <c r="E1415" s="156" t="n"/>
      <c r="F1415" s="157">
        <f>HYPERLINK("https://app.global.datasite.com/platform/container/696652ec0dc07cc02daa26a0/documents/content/index/69cbcc81d8173ff1179e671b","ITT")</f>
        <v/>
      </c>
      <c r="G1415" s="154" t="inlineStr">
        <is>
          <t>FOLDER</t>
        </is>
      </c>
      <c r="H1415" s="154" t="n"/>
      <c r="I1415" s="154" t="inlineStr">
        <is>
          <t>DOWNLOAD</t>
        </is>
      </c>
      <c r="J1415" s="154" t="n"/>
      <c r="K1415" s="154" t="inlineStr">
        <is>
          <t>Unread</t>
        </is>
      </c>
      <c r="L1415" s="158" t="n">
        <v>46195.66359459491</v>
      </c>
      <c r="M1415" s="154" t="inlineStr">
        <is>
          <t>69cbcc81d8173ff1179e671b</t>
        </is>
      </c>
    </row>
    <row r="1416">
      <c r="A1416" s="154" t="inlineStr">
        <is>
          <t>Project Notos Clean Team</t>
        </is>
      </c>
      <c r="B1416" s="154" t="inlineStr">
        <is>
          <t>1.2.1.1</t>
        </is>
      </c>
      <c r="C1416" s="155" t="inlineStr">
        <is>
          <t>Electricity</t>
        </is>
      </c>
      <c r="D1416" s="156" t="n"/>
      <c r="E1416" s="156" t="n"/>
      <c r="F1416" s="157">
        <f>HYPERLINK("https://app.global.datasite.com/platform/container/696652ec0dc07cc02daa26a0/documents/content/index/69e21461253932bb73ca013b","Electricity")</f>
        <v/>
      </c>
      <c r="G1416" s="154" t="inlineStr">
        <is>
          <t>FOLDER</t>
        </is>
      </c>
      <c r="H1416" s="154" t="n"/>
      <c r="I1416" s="154" t="inlineStr">
        <is>
          <t>DOWNLOAD</t>
        </is>
      </c>
      <c r="J1416" s="154" t="n"/>
      <c r="K1416" s="154" t="inlineStr">
        <is>
          <t>Unread</t>
        </is>
      </c>
      <c r="L1416" s="158" t="n">
        <v>46195.66359459491</v>
      </c>
      <c r="M1416" s="154" t="inlineStr">
        <is>
          <t>69e21461253932bb73ca013b</t>
        </is>
      </c>
    </row>
    <row r="1417">
      <c r="A1417" s="154" t="inlineStr">
        <is>
          <t>Project Notos Clean Team</t>
        </is>
      </c>
      <c r="B1417" s="154" t="inlineStr">
        <is>
          <t>1.2.1.1.1</t>
        </is>
      </c>
      <c r="C1417" s="155" t="inlineStr">
        <is>
          <t>ITT_annex to the agreement with Tauron_20241211</t>
        </is>
      </c>
      <c r="D1417" s="156" t="n"/>
      <c r="E1417" s="156" t="n"/>
      <c r="F1417" s="157">
        <f>HYPERLINK("https://app.global.datasite.com/webviewer/?projectId=696652ec0dc07cc02daa26a0&amp;documentId=69bd41edb03e7d31c6a492ad","ITT_annex to the agreement with Tauron_20241211")</f>
        <v/>
      </c>
      <c r="G1417" s="154" t="inlineStr">
        <is>
          <t>DOCUMENT</t>
        </is>
      </c>
      <c r="H1417" s="154" t="inlineStr">
        <is>
          <t>pdf</t>
        </is>
      </c>
      <c r="I1417" s="154" t="inlineStr">
        <is>
          <t>DOWNLOAD</t>
        </is>
      </c>
      <c r="J1417" s="154" t="n">
        <v>0.72772789</v>
      </c>
      <c r="K1417" s="154" t="inlineStr">
        <is>
          <t>Unread</t>
        </is>
      </c>
      <c r="L1417" s="158" t="n">
        <v>46195.66359459491</v>
      </c>
      <c r="M1417" s="154" t="inlineStr">
        <is>
          <t>69bd41edb03e7d31c6a492ad</t>
        </is>
      </c>
    </row>
    <row r="1418">
      <c r="A1418" s="154" t="inlineStr">
        <is>
          <t>Project Notos Clean Team</t>
        </is>
      </c>
      <c r="B1418" s="154" t="inlineStr">
        <is>
          <t>1.2.1.1.2</t>
        </is>
      </c>
      <c r="C1418" s="155" t="inlineStr">
        <is>
          <t>ITT_annex to the agreement with Tauron_20241211</t>
        </is>
      </c>
      <c r="D1418" s="156" t="n"/>
      <c r="E1418" s="156" t="n"/>
      <c r="F1418" s="157">
        <f>HYPERLINK("https://app.global.datasite.com/webviewer/?projectId=696652ec0dc07cc02daa26a0&amp;documentId=69bd41edb03e7d31c6a492ac","ITT_annex to the agreement with Tauron_20241211")</f>
        <v/>
      </c>
      <c r="G1418" s="154" t="inlineStr">
        <is>
          <t>DOCUMENT</t>
        </is>
      </c>
      <c r="H1418" s="154" t="inlineStr">
        <is>
          <t>pdf</t>
        </is>
      </c>
      <c r="I1418" s="154" t="inlineStr">
        <is>
          <t>DOWNLOAD</t>
        </is>
      </c>
      <c r="J1418" s="154" t="n">
        <v>0.63140201</v>
      </c>
      <c r="K1418" s="154" t="inlineStr">
        <is>
          <t>Unread</t>
        </is>
      </c>
      <c r="L1418" s="158" t="n">
        <v>46195.66359459491</v>
      </c>
      <c r="M1418" s="154" t="inlineStr">
        <is>
          <t>69bd41edb03e7d31c6a492ac</t>
        </is>
      </c>
    </row>
    <row r="1419">
      <c r="A1419" s="154" t="inlineStr">
        <is>
          <t>Project Notos Clean Team</t>
        </is>
      </c>
      <c r="B1419" s="154" t="inlineStr">
        <is>
          <t>1.2.1.2</t>
        </is>
      </c>
      <c r="C1419" s="155" t="inlineStr">
        <is>
          <t>Gas</t>
        </is>
      </c>
      <c r="D1419" s="156" t="n"/>
      <c r="E1419" s="156" t="n"/>
      <c r="F1419" s="157">
        <f>HYPERLINK("https://app.global.datasite.com/platform/container/696652ec0dc07cc02daa26a0/documents/content/index/69cbeae717350af3e89f9d36","Gas")</f>
        <v/>
      </c>
      <c r="G1419" s="154" t="inlineStr">
        <is>
          <t>FOLDER</t>
        </is>
      </c>
      <c r="H1419" s="154" t="n"/>
      <c r="I1419" s="154" t="inlineStr">
        <is>
          <t>DOWNLOAD</t>
        </is>
      </c>
      <c r="J1419" s="154" t="n"/>
      <c r="K1419" s="154" t="inlineStr">
        <is>
          <t>Unread</t>
        </is>
      </c>
      <c r="L1419" s="158" t="n">
        <v>46195.66359459491</v>
      </c>
      <c r="M1419" s="154" t="inlineStr">
        <is>
          <t>69cbeae717350af3e89f9d36</t>
        </is>
      </c>
    </row>
    <row r="1420">
      <c r="A1420" s="154" t="inlineStr">
        <is>
          <t>Project Notos Clean Team</t>
        </is>
      </c>
      <c r="B1420" s="154" t="inlineStr">
        <is>
          <t>1.2.1.2.1</t>
        </is>
      </c>
      <c r="C1420" s="155" t="inlineStr">
        <is>
          <t>ITT_agreement on gas delivery_20170727</t>
        </is>
      </c>
      <c r="D1420" s="156" t="n"/>
      <c r="E1420" s="156" t="n"/>
      <c r="F1420" s="157">
        <f>HYPERLINK("https://app.global.datasite.com/webviewer/?projectId=696652ec0dc07cc02daa26a0&amp;documentId=69bd41edb03e7d31c6a492a4","ITT_agreement on gas delivery_20170727")</f>
        <v/>
      </c>
      <c r="G1420" s="154" t="inlineStr">
        <is>
          <t>DOCUMENT</t>
        </is>
      </c>
      <c r="H1420" s="154" t="inlineStr">
        <is>
          <t>pdf</t>
        </is>
      </c>
      <c r="I1420" s="154" t="inlineStr">
        <is>
          <t>DOWNLOAD</t>
        </is>
      </c>
      <c r="J1420" s="154" t="n">
        <v>4.94362735</v>
      </c>
      <c r="K1420" s="154" t="inlineStr">
        <is>
          <t>Unread</t>
        </is>
      </c>
      <c r="L1420" s="158" t="n">
        <v>46195.66359459491</v>
      </c>
      <c r="M1420" s="154" t="inlineStr">
        <is>
          <t>69bd41edb03e7d31c6a492a4</t>
        </is>
      </c>
    </row>
    <row r="1421">
      <c r="A1421" s="154" t="inlineStr">
        <is>
          <t>Project Notos Clean Team</t>
        </is>
      </c>
      <c r="B1421" s="154" t="inlineStr">
        <is>
          <t>1.2.1.2.2</t>
        </is>
      </c>
      <c r="C1421" s="155" t="inlineStr">
        <is>
          <t>ITT_agreement on gas delivery_20230404</t>
        </is>
      </c>
      <c r="D1421" s="156" t="n"/>
      <c r="E1421" s="156" t="n"/>
      <c r="F1421" s="157">
        <f>HYPERLINK("https://app.global.datasite.com/webviewer/?projectId=696652ec0dc07cc02daa26a0&amp;documentId=69bd41edb03e7d31c6a492a5","ITT_agreement on gas delivery_20230404")</f>
        <v/>
      </c>
      <c r="G1421" s="154" t="inlineStr">
        <is>
          <t>DOCUMENT</t>
        </is>
      </c>
      <c r="H1421" s="154" t="inlineStr">
        <is>
          <t>pdf</t>
        </is>
      </c>
      <c r="I1421" s="154" t="inlineStr">
        <is>
          <t>DOWNLOAD</t>
        </is>
      </c>
      <c r="J1421" s="154" t="n">
        <v>5.73906326</v>
      </c>
      <c r="K1421" s="154" t="inlineStr">
        <is>
          <t>Unread</t>
        </is>
      </c>
      <c r="L1421" s="158" t="n">
        <v>46195.66359459491</v>
      </c>
      <c r="M1421" s="154" t="inlineStr">
        <is>
          <t>69bd41edb03e7d31c6a492a5</t>
        </is>
      </c>
    </row>
    <row r="1422">
      <c r="A1422" s="154" t="inlineStr">
        <is>
          <t>Project Notos Clean Team</t>
        </is>
      </c>
      <c r="B1422" s="154" t="inlineStr">
        <is>
          <t>1.2.1.2.3</t>
        </is>
      </c>
      <c r="C1422" s="155" t="inlineStr">
        <is>
          <t>ITT_agreement on gas delivery_20171009</t>
        </is>
      </c>
      <c r="D1422" s="156" t="n"/>
      <c r="E1422" s="156" t="n"/>
      <c r="F1422" s="157">
        <f>HYPERLINK("https://app.global.datasite.com/webviewer/?projectId=696652ec0dc07cc02daa26a0&amp;documentId=69bd41edb03e7d31c6a492a6","ITT_agreement on gas delivery_20171009")</f>
        <v/>
      </c>
      <c r="G1422" s="154" t="inlineStr">
        <is>
          <t>DOCUMENT</t>
        </is>
      </c>
      <c r="H1422" s="154" t="inlineStr">
        <is>
          <t>pdf</t>
        </is>
      </c>
      <c r="I1422" s="154" t="inlineStr">
        <is>
          <t>DOWNLOAD</t>
        </is>
      </c>
      <c r="J1422" s="154" t="n">
        <v>1.06711864</v>
      </c>
      <c r="K1422" s="154" t="inlineStr">
        <is>
          <t>Unread</t>
        </is>
      </c>
      <c r="L1422" s="158" t="n">
        <v>46195.66359459491</v>
      </c>
      <c r="M1422" s="154" t="inlineStr">
        <is>
          <t>69bd41edb03e7d31c6a492a6</t>
        </is>
      </c>
    </row>
    <row r="1423">
      <c r="A1423" s="154" t="inlineStr">
        <is>
          <t>Project Notos Clean Team</t>
        </is>
      </c>
      <c r="B1423" s="154" t="inlineStr">
        <is>
          <t>1.2.1.2.4</t>
        </is>
      </c>
      <c r="C1423" s="155" t="inlineStr">
        <is>
          <t>ITT_agreement on gas delivery_20230327</t>
        </is>
      </c>
      <c r="D1423" s="156" t="n"/>
      <c r="E1423" s="156" t="n"/>
      <c r="F1423" s="157">
        <f>HYPERLINK("https://app.global.datasite.com/webviewer/?projectId=696652ec0dc07cc02daa26a0&amp;documentId=69bd41edb03e7d31c6a492a7","ITT_agreement on gas delivery_20230327")</f>
        <v/>
      </c>
      <c r="G1423" s="154" t="inlineStr">
        <is>
          <t>DOCUMENT</t>
        </is>
      </c>
      <c r="H1423" s="154" t="inlineStr">
        <is>
          <t>pdf</t>
        </is>
      </c>
      <c r="I1423" s="154" t="inlineStr">
        <is>
          <t>DOWNLOAD</t>
        </is>
      </c>
      <c r="J1423" s="154" t="n">
        <v>11.46596813</v>
      </c>
      <c r="K1423" s="154" t="inlineStr">
        <is>
          <t>Unread</t>
        </is>
      </c>
      <c r="L1423" s="158" t="n">
        <v>46195.66359459491</v>
      </c>
      <c r="M1423" s="154" t="inlineStr">
        <is>
          <t>69bd41edb03e7d31c6a492a7</t>
        </is>
      </c>
    </row>
    <row r="1424">
      <c r="A1424" s="154" t="inlineStr">
        <is>
          <t>Project Notos Clean Team</t>
        </is>
      </c>
      <c r="B1424" s="154" t="inlineStr">
        <is>
          <t>1.2.1.3</t>
        </is>
      </c>
      <c r="C1424" s="155" t="inlineStr">
        <is>
          <t>Machinery_Components</t>
        </is>
      </c>
      <c r="D1424" s="156" t="n"/>
      <c r="E1424" s="156" t="n"/>
      <c r="F1424" s="157">
        <f>HYPERLINK("https://app.global.datasite.com/platform/container/696652ec0dc07cc02daa26a0/documents/content/index/69f0cd468e019bb255f92d40","Machinery_Components")</f>
        <v/>
      </c>
      <c r="G1424" s="154" t="inlineStr">
        <is>
          <t>FOLDER</t>
        </is>
      </c>
      <c r="H1424" s="154" t="n"/>
      <c r="I1424" s="154" t="inlineStr">
        <is>
          <t>DOWNLOAD</t>
        </is>
      </c>
      <c r="J1424" s="154" t="n"/>
      <c r="K1424" s="154" t="inlineStr">
        <is>
          <t>Unread</t>
        </is>
      </c>
      <c r="L1424" s="158" t="n">
        <v>46195.66359459491</v>
      </c>
      <c r="M1424" s="154" t="inlineStr">
        <is>
          <t>69f0cd468e019bb255f92d40</t>
        </is>
      </c>
    </row>
    <row r="1425">
      <c r="A1425" s="154" t="inlineStr">
        <is>
          <t>Project Notos Clean Team</t>
        </is>
      </c>
      <c r="B1425" s="154" t="inlineStr">
        <is>
          <t>1.2.1.3.1</t>
        </is>
      </c>
      <c r="C1425" s="155" t="inlineStr">
        <is>
          <t>Supplier 1</t>
        </is>
      </c>
      <c r="D1425" s="156" t="n"/>
      <c r="E1425" s="156" t="n"/>
      <c r="F1425" s="157">
        <f>HYPERLINK("https://app.global.datasite.com/platform/container/696652ec0dc07cc02daa26a0/documents/content/index/69f0d111464a3384b23fc9e9","Supplier 1")</f>
        <v/>
      </c>
      <c r="G1425" s="154" t="inlineStr">
        <is>
          <t>FOLDER</t>
        </is>
      </c>
      <c r="H1425" s="154" t="n"/>
      <c r="I1425" s="154" t="inlineStr">
        <is>
          <t>DOWNLOAD</t>
        </is>
      </c>
      <c r="J1425" s="154" t="n"/>
      <c r="K1425" s="154" t="inlineStr">
        <is>
          <t>Unread</t>
        </is>
      </c>
      <c r="L1425" s="158" t="n">
        <v>46195.66359459491</v>
      </c>
      <c r="M1425" s="154" t="inlineStr">
        <is>
          <t>69f0d111464a3384b23fc9e9</t>
        </is>
      </c>
    </row>
    <row r="1426">
      <c r="A1426" s="154" t="inlineStr">
        <is>
          <t>Project Notos Clean Team</t>
        </is>
      </c>
      <c r="B1426" s="154" t="inlineStr">
        <is>
          <t>1.2.1.3.1.1</t>
        </is>
      </c>
      <c r="C1426" s="155" t="inlineStr">
        <is>
          <t>ITT_Scheduling Agreement Supplier Machinery</t>
        </is>
      </c>
      <c r="D1426" s="156" t="n"/>
      <c r="E1426" s="156" t="n"/>
      <c r="F1426" s="157">
        <f>HYPERLINK("https://app.global.datasite.com/webviewer/?projectId=696652ec0dc07cc02daa26a0&amp;documentId=69f0cd9f7062c7264e7469c7","ITT_Scheduling Agreement Supplier Machinery")</f>
        <v/>
      </c>
      <c r="G1426" s="154" t="inlineStr">
        <is>
          <t>DOCUMENT</t>
        </is>
      </c>
      <c r="H1426" s="154" t="inlineStr">
        <is>
          <t>pdf</t>
        </is>
      </c>
      <c r="I1426" s="154" t="inlineStr">
        <is>
          <t>DOWNLOAD</t>
        </is>
      </c>
      <c r="J1426" s="154" t="n">
        <v>0.42484474</v>
      </c>
      <c r="K1426" s="154" t="inlineStr">
        <is>
          <t>Unread</t>
        </is>
      </c>
      <c r="L1426" s="158" t="n">
        <v>46195.66359459491</v>
      </c>
      <c r="M1426" s="154" t="inlineStr">
        <is>
          <t>69f0cd9f7062c7264e7469c7</t>
        </is>
      </c>
    </row>
    <row r="1427">
      <c r="A1427" s="154" t="inlineStr">
        <is>
          <t>Project Notos Clean Team</t>
        </is>
      </c>
      <c r="B1427" s="154" t="inlineStr">
        <is>
          <t>1.2.1.3.1.2</t>
        </is>
      </c>
      <c r="C1427" s="155" t="inlineStr">
        <is>
          <t>ITT_Price Agreement Supplier Machinery</t>
        </is>
      </c>
      <c r="D1427" s="156" t="n"/>
      <c r="E1427" s="156" t="n"/>
      <c r="F1427" s="157">
        <f>HYPERLINK("https://app.global.datasite.com/webviewer/?projectId=696652ec0dc07cc02daa26a0&amp;documentId=69f0cdd6cee1c7a562eebe16","ITT_Price Agreement Supplier Machinery")</f>
        <v/>
      </c>
      <c r="G1427" s="154" t="inlineStr">
        <is>
          <t>DOCUMENT</t>
        </is>
      </c>
      <c r="H1427" s="154" t="inlineStr">
        <is>
          <t>pdf</t>
        </is>
      </c>
      <c r="I1427" s="154" t="inlineStr">
        <is>
          <t>DOWNLOAD</t>
        </is>
      </c>
      <c r="J1427" s="154" t="n">
        <v>0.54288864</v>
      </c>
      <c r="K1427" s="154" t="inlineStr">
        <is>
          <t>Unread</t>
        </is>
      </c>
      <c r="L1427" s="158" t="n">
        <v>46195.66359459491</v>
      </c>
      <c r="M1427" s="154" t="inlineStr">
        <is>
          <t>69f0cdd6cee1c7a562eebe16</t>
        </is>
      </c>
    </row>
    <row r="1428">
      <c r="A1428" s="154" t="inlineStr">
        <is>
          <t>Project Notos Clean Team</t>
        </is>
      </c>
      <c r="B1428" s="154" t="inlineStr">
        <is>
          <t>1.2.1.3.2</t>
        </is>
      </c>
      <c r="C1428" s="155" t="inlineStr">
        <is>
          <t>Supplier 2</t>
        </is>
      </c>
      <c r="D1428" s="156" t="n"/>
      <c r="E1428" s="156" t="n"/>
      <c r="F1428" s="157">
        <f>HYPERLINK("https://app.global.datasite.com/platform/container/696652ec0dc07cc02daa26a0/documents/content/index/69f0d11b774087e69f3ab0d3","Supplier 2")</f>
        <v/>
      </c>
      <c r="G1428" s="154" t="inlineStr">
        <is>
          <t>FOLDER</t>
        </is>
      </c>
      <c r="H1428" s="154" t="n"/>
      <c r="I1428" s="154" t="inlineStr">
        <is>
          <t>DOWNLOAD</t>
        </is>
      </c>
      <c r="J1428" s="154" t="n"/>
      <c r="K1428" s="154" t="inlineStr">
        <is>
          <t>Unread</t>
        </is>
      </c>
      <c r="L1428" s="158" t="n">
        <v>46195.66359459491</v>
      </c>
      <c r="M1428" s="154" t="inlineStr">
        <is>
          <t>69f0d11b774087e69f3ab0d3</t>
        </is>
      </c>
    </row>
    <row r="1429">
      <c r="A1429" s="154" t="inlineStr">
        <is>
          <t>Project Notos Clean Team</t>
        </is>
      </c>
      <c r="B1429" s="154" t="inlineStr">
        <is>
          <t>1.2.1.3.2.1</t>
        </is>
      </c>
      <c r="C1429" s="155" t="inlineStr">
        <is>
          <t>ITT_Supplier_Components</t>
        </is>
      </c>
      <c r="D1429" s="156" t="n"/>
      <c r="E1429" s="156" t="n"/>
      <c r="F1429" s="157">
        <f>HYPERLINK("https://app.global.datasite.com/webviewer/?projectId=696652ec0dc07cc02daa26a0&amp;documentId=69f0d1258e019bb255f92e82","ITT_Supplier_Components")</f>
        <v/>
      </c>
      <c r="G1429" s="154" t="inlineStr">
        <is>
          <t>DOCUMENT</t>
        </is>
      </c>
      <c r="H1429" s="154" t="inlineStr">
        <is>
          <t>pdf</t>
        </is>
      </c>
      <c r="I1429" s="154" t="inlineStr">
        <is>
          <t>DOWNLOAD</t>
        </is>
      </c>
      <c r="J1429" s="154" t="n">
        <v>3.7372961</v>
      </c>
      <c r="K1429" s="154" t="inlineStr">
        <is>
          <t>Unread</t>
        </is>
      </c>
      <c r="L1429" s="158" t="n">
        <v>46195.66359459491</v>
      </c>
      <c r="M1429" s="154" t="inlineStr">
        <is>
          <t>69f0d1258e019bb255f92e82</t>
        </is>
      </c>
    </row>
    <row r="1430">
      <c r="A1430" s="154" t="inlineStr">
        <is>
          <t>Project Notos Clean Team</t>
        </is>
      </c>
      <c r="B1430" s="154" t="inlineStr">
        <is>
          <t>1.2.1.3.2.2</t>
        </is>
      </c>
      <c r="C1430" s="155" t="inlineStr">
        <is>
          <t>ITT_Nomination Letter _26062019</t>
        </is>
      </c>
      <c r="D1430" s="156" t="n"/>
      <c r="E1430" s="156" t="n"/>
      <c r="F1430" s="157">
        <f>HYPERLINK("https://app.global.datasite.com/webviewer/?projectId=696652ec0dc07cc02daa26a0&amp;documentId=6a1d382d641573fa81d8e97b","ITT_Nomination Letter _26062019")</f>
        <v/>
      </c>
      <c r="G1430" s="154" t="inlineStr">
        <is>
          <t>DOCUMENT</t>
        </is>
      </c>
      <c r="H1430" s="154" t="inlineStr">
        <is>
          <t>pdf</t>
        </is>
      </c>
      <c r="I1430" s="154" t="inlineStr">
        <is>
          <t>DOWNLOAD</t>
        </is>
      </c>
      <c r="J1430" s="154" t="n">
        <v>2.76817989</v>
      </c>
      <c r="K1430" s="154" t="inlineStr">
        <is>
          <t>Unread</t>
        </is>
      </c>
      <c r="L1430" s="158" t="n">
        <v>46195.66359459491</v>
      </c>
      <c r="M1430" s="154" t="inlineStr">
        <is>
          <t>6a1d382d641573fa81d8e97b</t>
        </is>
      </c>
    </row>
    <row r="1431">
      <c r="A1431" s="154" t="inlineStr">
        <is>
          <t>Project Notos Clean Team</t>
        </is>
      </c>
      <c r="B1431" s="154" t="inlineStr">
        <is>
          <t>1.2.1.3.2.3</t>
        </is>
      </c>
      <c r="C1431" s="155" t="inlineStr">
        <is>
          <t>ITT_Nomination Letter_07092021</t>
        </is>
      </c>
      <c r="D1431" s="156" t="n"/>
      <c r="E1431" s="156" t="n"/>
      <c r="F1431" s="157">
        <f>HYPERLINK("https://app.global.datasite.com/webviewer/?projectId=696652ec0dc07cc02daa26a0&amp;documentId=6a1d3b8f8b62131868160a21","ITT_Nomination Letter_07092021")</f>
        <v/>
      </c>
      <c r="G1431" s="154" t="inlineStr">
        <is>
          <t>DOCUMENT</t>
        </is>
      </c>
      <c r="H1431" s="154" t="inlineStr">
        <is>
          <t>pdf</t>
        </is>
      </c>
      <c r="I1431" s="154" t="inlineStr">
        <is>
          <t>DOWNLOAD</t>
        </is>
      </c>
      <c r="J1431" s="154" t="n">
        <v>0.28880214</v>
      </c>
      <c r="K1431" s="154" t="inlineStr">
        <is>
          <t>Unread</t>
        </is>
      </c>
      <c r="L1431" s="158" t="n">
        <v>46195.66359459491</v>
      </c>
      <c r="M1431" s="154" t="inlineStr">
        <is>
          <t>6a1d3b8f8b62131868160a21</t>
        </is>
      </c>
    </row>
    <row r="1432">
      <c r="A1432" s="154" t="inlineStr">
        <is>
          <t>Project Notos Clean Team</t>
        </is>
      </c>
      <c r="B1432" s="154" t="inlineStr">
        <is>
          <t>1.2.1.3.3</t>
        </is>
      </c>
      <c r="C1432" s="155" t="inlineStr">
        <is>
          <t>Supplier 3</t>
        </is>
      </c>
      <c r="D1432" s="156" t="n"/>
      <c r="E1432" s="156" t="n"/>
      <c r="F1432" s="157">
        <f>HYPERLINK("https://app.global.datasite.com/platform/container/696652ec0dc07cc02daa26a0/documents/content/index/6a1d501bb8cd7504bb8ac7ad","Supplier 3")</f>
        <v/>
      </c>
      <c r="G1432" s="154" t="inlineStr">
        <is>
          <t>FOLDER</t>
        </is>
      </c>
      <c r="H1432" s="154" t="n"/>
      <c r="I1432" s="154" t="inlineStr">
        <is>
          <t>DOWNLOAD</t>
        </is>
      </c>
      <c r="J1432" s="154" t="n"/>
      <c r="K1432" s="154" t="inlineStr">
        <is>
          <t>Unread</t>
        </is>
      </c>
      <c r="L1432" s="158" t="n">
        <v>46195.66359459491</v>
      </c>
      <c r="M1432" s="154" t="inlineStr">
        <is>
          <t>6a1d501bb8cd7504bb8ac7ad</t>
        </is>
      </c>
    </row>
    <row r="1433">
      <c r="A1433" s="154" t="inlineStr">
        <is>
          <t>Project Notos Clean Team</t>
        </is>
      </c>
      <c r="B1433" s="154" t="inlineStr">
        <is>
          <t>1.2.1.3.3.1</t>
        </is>
      </c>
      <c r="C1433" s="155" t="inlineStr">
        <is>
          <t>ITT_Scheduling Agreement Supplier 3</t>
        </is>
      </c>
      <c r="D1433" s="156" t="n"/>
      <c r="E1433" s="156" t="n"/>
      <c r="F1433" s="157">
        <f>HYPERLINK("https://app.global.datasite.com/webviewer/?projectId=696652ec0dc07cc02daa26a0&amp;documentId=6a1d502f1173c7f7a3c8d378","ITT_Scheduling Agreement Supplier 3")</f>
        <v/>
      </c>
      <c r="G1433" s="154" t="inlineStr">
        <is>
          <t>DOCUMENT</t>
        </is>
      </c>
      <c r="H1433" s="154" t="inlineStr">
        <is>
          <t>pdf</t>
        </is>
      </c>
      <c r="I1433" s="154" t="inlineStr">
        <is>
          <t>DOWNLOAD</t>
        </is>
      </c>
      <c r="J1433" s="154" t="n">
        <v>0.01094436</v>
      </c>
      <c r="K1433" s="154" t="inlineStr">
        <is>
          <t>Unread</t>
        </is>
      </c>
      <c r="L1433" s="158" t="n">
        <v>46195.66359459491</v>
      </c>
      <c r="M1433" s="154" t="inlineStr">
        <is>
          <t>6a1d502f1173c7f7a3c8d378</t>
        </is>
      </c>
    </row>
    <row r="1434">
      <c r="A1434" s="154" t="inlineStr">
        <is>
          <t>Project Notos Clean Team</t>
        </is>
      </c>
      <c r="B1434" s="154" t="inlineStr">
        <is>
          <t>1.2.1.4</t>
        </is>
      </c>
      <c r="C1434" s="155" t="inlineStr">
        <is>
          <t>Aluminum</t>
        </is>
      </c>
      <c r="D1434" s="156" t="n"/>
      <c r="E1434" s="156" t="n"/>
      <c r="F1434" s="157">
        <f>HYPERLINK("https://app.global.datasite.com/platform/container/696652ec0dc07cc02daa26a0/documents/content/index/69f0cf43bd60a3ae610c6ec3","Aluminum")</f>
        <v/>
      </c>
      <c r="G1434" s="154" t="inlineStr">
        <is>
          <t>FOLDER</t>
        </is>
      </c>
      <c r="H1434" s="154" t="n"/>
      <c r="I1434" s="154" t="inlineStr">
        <is>
          <t>DOWNLOAD</t>
        </is>
      </c>
      <c r="J1434" s="154" t="n"/>
      <c r="K1434" s="154" t="inlineStr">
        <is>
          <t>Unread</t>
        </is>
      </c>
      <c r="L1434" s="158" t="n">
        <v>46195.66359459491</v>
      </c>
      <c r="M1434" s="154" t="inlineStr">
        <is>
          <t>69f0cf43bd60a3ae610c6ec3</t>
        </is>
      </c>
    </row>
    <row r="1435">
      <c r="A1435" s="154" t="inlineStr">
        <is>
          <t>Project Notos Clean Team</t>
        </is>
      </c>
      <c r="B1435" s="154" t="inlineStr">
        <is>
          <t>1.2.1.4.1</t>
        </is>
      </c>
      <c r="C1435" s="155" t="inlineStr">
        <is>
          <t>Supplier 1</t>
        </is>
      </c>
      <c r="D1435" s="156" t="n"/>
      <c r="E1435" s="156" t="n"/>
      <c r="F1435" s="157">
        <f>HYPERLINK("https://app.global.datasite.com/platform/container/696652ec0dc07cc02daa26a0/documents/content/index/69f0cf4d89ec196f869d3135","Supplier 1")</f>
        <v/>
      </c>
      <c r="G1435" s="154" t="inlineStr">
        <is>
          <t>FOLDER</t>
        </is>
      </c>
      <c r="H1435" s="154" t="n"/>
      <c r="I1435" s="154" t="inlineStr">
        <is>
          <t>DOWNLOAD</t>
        </is>
      </c>
      <c r="J1435" s="154" t="n"/>
      <c r="K1435" s="154" t="inlineStr">
        <is>
          <t>Unread</t>
        </is>
      </c>
      <c r="L1435" s="158" t="n">
        <v>46195.66359459491</v>
      </c>
      <c r="M1435" s="154" t="inlineStr">
        <is>
          <t>69f0cf4d89ec196f869d3135</t>
        </is>
      </c>
    </row>
    <row r="1436">
      <c r="A1436" s="154" t="inlineStr">
        <is>
          <t>Project Notos Clean Team</t>
        </is>
      </c>
      <c r="B1436" s="154" t="inlineStr">
        <is>
          <t>1.2.1.4.1.1</t>
        </is>
      </c>
      <c r="C1436" s="155" t="inlineStr">
        <is>
          <t>ITT_Contract Supplier Aluminum</t>
        </is>
      </c>
      <c r="D1436" s="156" t="n"/>
      <c r="E1436" s="156" t="n"/>
      <c r="F1436" s="157">
        <f>HYPERLINK("https://app.global.datasite.com/webviewer/?projectId=696652ec0dc07cc02daa26a0&amp;documentId=69f0cf541e673c19af3a111b","ITT_Contract Supplier Aluminum")</f>
        <v/>
      </c>
      <c r="G1436" s="154" t="inlineStr">
        <is>
          <t>DOCUMENT</t>
        </is>
      </c>
      <c r="H1436" s="154" t="inlineStr">
        <is>
          <t>pdf</t>
        </is>
      </c>
      <c r="I1436" s="154" t="inlineStr">
        <is>
          <t>DOWNLOAD</t>
        </is>
      </c>
      <c r="J1436" s="154" t="n">
        <v>1.24883079</v>
      </c>
      <c r="K1436" s="154" t="inlineStr">
        <is>
          <t>Read</t>
        </is>
      </c>
      <c r="L1436" s="158" t="n">
        <v>46195.66359459491</v>
      </c>
      <c r="M1436" s="154" t="inlineStr">
        <is>
          <t>69f0cf541e673c19af3a111b</t>
        </is>
      </c>
    </row>
    <row r="1437">
      <c r="A1437" s="154" t="inlineStr">
        <is>
          <t>Project Notos Clean Team</t>
        </is>
      </c>
      <c r="B1437" s="154" t="inlineStr">
        <is>
          <t>1.2.1.4.1.2</t>
        </is>
      </c>
      <c r="C1437" s="155" t="inlineStr">
        <is>
          <t>ITT_Price Agreement 2026 2027_260301</t>
        </is>
      </c>
      <c r="D1437" s="156" t="n"/>
      <c r="E1437" s="156" t="n"/>
      <c r="F1437" s="157">
        <f>HYPERLINK("https://app.global.datasite.com/webviewer/?projectId=696652ec0dc07cc02daa26a0&amp;documentId=6a1d461460287e33093351a0","ITT_Price Agreement 2026 2027_260301")</f>
        <v/>
      </c>
      <c r="G1437" s="154" t="inlineStr">
        <is>
          <t>DOCUMENT</t>
        </is>
      </c>
      <c r="H1437" s="154" t="inlineStr">
        <is>
          <t>pdf</t>
        </is>
      </c>
      <c r="I1437" s="154" t="inlineStr">
        <is>
          <t>DOWNLOAD</t>
        </is>
      </c>
      <c r="J1437" s="154" t="n">
        <v>0.09014129</v>
      </c>
      <c r="K1437" s="154" t="inlineStr">
        <is>
          <t>Unread</t>
        </is>
      </c>
      <c r="L1437" s="158" t="n">
        <v>46195.66359459491</v>
      </c>
      <c r="M1437" s="154" t="inlineStr">
        <is>
          <t>6a1d461460287e33093351a0</t>
        </is>
      </c>
    </row>
    <row r="1438">
      <c r="A1438" s="154" t="inlineStr">
        <is>
          <t>Project Notos Clean Team</t>
        </is>
      </c>
      <c r="B1438" s="154" t="inlineStr">
        <is>
          <t>1.2.1.4.2</t>
        </is>
      </c>
      <c r="C1438" s="155" t="inlineStr">
        <is>
          <t>Supplier 2</t>
        </is>
      </c>
      <c r="D1438" s="156" t="n"/>
      <c r="E1438" s="156" t="n"/>
      <c r="F1438" s="157">
        <f>HYPERLINK("https://app.global.datasite.com/platform/container/696652ec0dc07cc02daa26a0/documents/content/index/6a1d552aece0f7142becee13","Supplier 2")</f>
        <v/>
      </c>
      <c r="G1438" s="154" t="inlineStr">
        <is>
          <t>FOLDER</t>
        </is>
      </c>
      <c r="H1438" s="154" t="n"/>
      <c r="I1438" s="154" t="inlineStr">
        <is>
          <t>DOWNLOAD</t>
        </is>
      </c>
      <c r="J1438" s="154" t="n"/>
      <c r="K1438" s="154" t="inlineStr">
        <is>
          <t>Unread</t>
        </is>
      </c>
      <c r="L1438" s="158" t="n">
        <v>46195.66359459491</v>
      </c>
      <c r="M1438" s="154" t="inlineStr">
        <is>
          <t>6a1d552aece0f7142becee13</t>
        </is>
      </c>
    </row>
    <row r="1439">
      <c r="A1439" s="154" t="inlineStr">
        <is>
          <t>Project Notos Clean Team</t>
        </is>
      </c>
      <c r="B1439" s="154" t="inlineStr">
        <is>
          <t>1.2.1.4.2.1</t>
        </is>
      </c>
      <c r="C1439" s="155" t="inlineStr">
        <is>
          <t>ITT_ Contract Supplier 2 Aluminum</t>
        </is>
      </c>
      <c r="D1439" s="156" t="n"/>
      <c r="E1439" s="156" t="n"/>
      <c r="F1439" s="157">
        <f>HYPERLINK("https://app.global.datasite.com/webviewer/?projectId=696652ec0dc07cc02daa26a0&amp;documentId=6a1d3f4600a146abdeb18b18","ITT_ Contract Supplier 2 Aluminum")</f>
        <v/>
      </c>
      <c r="G1439" s="154" t="inlineStr">
        <is>
          <t>DOCUMENT</t>
        </is>
      </c>
      <c r="H1439" s="154" t="inlineStr">
        <is>
          <t>pdf</t>
        </is>
      </c>
      <c r="I1439" s="154" t="inlineStr">
        <is>
          <t>DOWNLOAD</t>
        </is>
      </c>
      <c r="J1439" s="154" t="n">
        <v>0.50692844</v>
      </c>
      <c r="K1439" s="154" t="inlineStr">
        <is>
          <t>Unread</t>
        </is>
      </c>
      <c r="L1439" s="158" t="n">
        <v>46195.66359459491</v>
      </c>
      <c r="M1439" s="154" t="inlineStr">
        <is>
          <t>6a1d3f4600a146abdeb18b18</t>
        </is>
      </c>
    </row>
    <row r="1440">
      <c r="A1440" s="154" t="inlineStr">
        <is>
          <t>Project Notos Clean Team</t>
        </is>
      </c>
      <c r="B1440" s="154" t="inlineStr">
        <is>
          <t>1.2.1.4.2.2</t>
        </is>
      </c>
      <c r="C1440" s="155" t="inlineStr">
        <is>
          <t>ITT_Supply Contract 2026-2027_Supplier 2 Aluminum_260402</t>
        </is>
      </c>
      <c r="D1440" s="156" t="n"/>
      <c r="E1440" s="156" t="n"/>
      <c r="F1440" s="157">
        <f>HYPERLINK("https://app.global.datasite.com/webviewer/?projectId=696652ec0dc07cc02daa26a0&amp;documentId=6a1d43368b62131868160c78","ITT_Supply Contract 2026-2027_Supplier 2 Aluminum_260402")</f>
        <v/>
      </c>
      <c r="G1440" s="154" t="inlineStr">
        <is>
          <t>DOCUMENT</t>
        </is>
      </c>
      <c r="H1440" s="154" t="inlineStr">
        <is>
          <t>pdf</t>
        </is>
      </c>
      <c r="I1440" s="154" t="inlineStr">
        <is>
          <t>DOWNLOAD</t>
        </is>
      </c>
      <c r="J1440" s="154" t="n">
        <v>3.03383255</v>
      </c>
      <c r="K1440" s="154" t="inlineStr">
        <is>
          <t>Unread</t>
        </is>
      </c>
      <c r="L1440" s="158" t="n">
        <v>46195.66359459491</v>
      </c>
      <c r="M1440" s="154" t="inlineStr">
        <is>
          <t>6a1d43368b62131868160c78</t>
        </is>
      </c>
    </row>
    <row r="1441">
      <c r="A1441" s="154" t="inlineStr">
        <is>
          <t>Project Notos Clean Team</t>
        </is>
      </c>
      <c r="B1441" s="154" t="inlineStr">
        <is>
          <t>1.2.1.5</t>
        </is>
      </c>
      <c r="C1441" s="155" t="inlineStr">
        <is>
          <t>Chemicals</t>
        </is>
      </c>
      <c r="D1441" s="156" t="n"/>
      <c r="E1441" s="156" t="n"/>
      <c r="F1441" s="157">
        <f>HYPERLINK("https://app.global.datasite.com/platform/container/696652ec0dc07cc02daa26a0/documents/content/index/6a1d4e7b9df593fd56cd0cec","Chemicals")</f>
        <v/>
      </c>
      <c r="G1441" s="154" t="inlineStr">
        <is>
          <t>FOLDER</t>
        </is>
      </c>
      <c r="H1441" s="154" t="n"/>
      <c r="I1441" s="154" t="inlineStr">
        <is>
          <t>DOWNLOAD</t>
        </is>
      </c>
      <c r="J1441" s="154" t="n"/>
      <c r="K1441" s="154" t="inlineStr">
        <is>
          <t>Unread</t>
        </is>
      </c>
      <c r="L1441" s="158" t="n">
        <v>46195.66359459491</v>
      </c>
      <c r="M1441" s="154" t="inlineStr">
        <is>
          <t>6a1d4e7b9df593fd56cd0cec</t>
        </is>
      </c>
    </row>
    <row r="1442">
      <c r="A1442" s="154" t="inlineStr">
        <is>
          <t>Project Notos Clean Team</t>
        </is>
      </c>
      <c r="B1442" s="154" t="inlineStr">
        <is>
          <t>1.2.1.5.1</t>
        </is>
      </c>
      <c r="C1442" s="155" t="inlineStr">
        <is>
          <t>Supplier 1</t>
        </is>
      </c>
      <c r="D1442" s="156" t="n"/>
      <c r="E1442" s="156" t="n"/>
      <c r="F1442" s="157">
        <f>HYPERLINK("https://app.global.datasite.com/platform/container/696652ec0dc07cc02daa26a0/documents/content/index/6a1da75f18580c78c291b865","Supplier 1")</f>
        <v/>
      </c>
      <c r="G1442" s="154" t="inlineStr">
        <is>
          <t>FOLDER</t>
        </is>
      </c>
      <c r="H1442" s="154" t="n"/>
      <c r="I1442" s="154" t="inlineStr">
        <is>
          <t>DOWNLOAD</t>
        </is>
      </c>
      <c r="J1442" s="154" t="n"/>
      <c r="K1442" s="154" t="inlineStr">
        <is>
          <t>Unread</t>
        </is>
      </c>
      <c r="L1442" s="158" t="n">
        <v>46195.66359459491</v>
      </c>
      <c r="M1442" s="154" t="inlineStr">
        <is>
          <t>6a1da75f18580c78c291b865</t>
        </is>
      </c>
    </row>
    <row r="1443">
      <c r="A1443" s="154" t="inlineStr">
        <is>
          <t>Project Notos Clean Team</t>
        </is>
      </c>
      <c r="B1443" s="154" t="inlineStr">
        <is>
          <t>1.2.1.5.1.1</t>
        </is>
      </c>
      <c r="C1443" s="155" t="inlineStr">
        <is>
          <t>ITT_Scheduling Agreement_Supplier 1 Chemicals 1</t>
        </is>
      </c>
      <c r="D1443" s="156" t="n"/>
      <c r="E1443" s="156" t="n"/>
      <c r="F1443" s="157">
        <f>HYPERLINK("https://app.global.datasite.com/webviewer/?projectId=696652ec0dc07cc02daa26a0&amp;documentId=6a1d4ec3a5d46cfc38fc0265","ITT_Scheduling Agreement_Supplier 1 Chemicals 1")</f>
        <v/>
      </c>
      <c r="G1443" s="154" t="inlineStr">
        <is>
          <t>DOCUMENT</t>
        </is>
      </c>
      <c r="H1443" s="154" t="inlineStr">
        <is>
          <t>pdf</t>
        </is>
      </c>
      <c r="I1443" s="154" t="inlineStr">
        <is>
          <t>DOWNLOAD</t>
        </is>
      </c>
      <c r="J1443" s="154" t="n">
        <v>0.01073265</v>
      </c>
      <c r="K1443" s="154" t="inlineStr">
        <is>
          <t>Unread</t>
        </is>
      </c>
      <c r="L1443" s="158" t="n">
        <v>46195.66359459491</v>
      </c>
      <c r="M1443" s="154" t="inlineStr">
        <is>
          <t>6a1d4ec3a5d46cfc38fc0265</t>
        </is>
      </c>
    </row>
    <row r="1444">
      <c r="A1444" s="154" t="inlineStr">
        <is>
          <t>Project Notos Clean Team</t>
        </is>
      </c>
      <c r="B1444" s="154" t="inlineStr">
        <is>
          <t>1.2.1.5.1.2</t>
        </is>
      </c>
      <c r="C1444" s="155" t="inlineStr">
        <is>
          <t>ITT_Scheduling Agreement_Supplier 1 Chemicals 2</t>
        </is>
      </c>
      <c r="D1444" s="156" t="n"/>
      <c r="E1444" s="156" t="n"/>
      <c r="F1444" s="157">
        <f>HYPERLINK("https://app.global.datasite.com/webviewer/?projectId=696652ec0dc07cc02daa26a0&amp;documentId=6a1d4f511173c7f7a3c8d354","ITT_Scheduling Agreement_Supplier 1 Chemicals 2")</f>
        <v/>
      </c>
      <c r="G1444" s="154" t="inlineStr">
        <is>
          <t>DOCUMENT</t>
        </is>
      </c>
      <c r="H1444" s="154" t="inlineStr">
        <is>
          <t>pdf</t>
        </is>
      </c>
      <c r="I1444" s="154" t="inlineStr">
        <is>
          <t>DOWNLOAD</t>
        </is>
      </c>
      <c r="J1444" s="154" t="n">
        <v>0.009708400000000001</v>
      </c>
      <c r="K1444" s="154" t="inlineStr">
        <is>
          <t>Unread</t>
        </is>
      </c>
      <c r="L1444" s="158" t="n">
        <v>46195.66359459491</v>
      </c>
      <c r="M1444" s="154" t="inlineStr">
        <is>
          <t>6a1d4f511173c7f7a3c8d354</t>
        </is>
      </c>
    </row>
    <row r="1445">
      <c r="A1445" s="154" t="inlineStr">
        <is>
          <t>Project Notos Clean Team</t>
        </is>
      </c>
      <c r="B1445" s="154" t="inlineStr">
        <is>
          <t>1.2.2</t>
        </is>
      </c>
      <c r="C1445" s="155" t="inlineStr">
        <is>
          <t>IHE</t>
        </is>
      </c>
      <c r="D1445" s="156" t="n"/>
      <c r="E1445" s="156" t="n"/>
      <c r="F1445" s="157">
        <f>HYPERLINK("https://app.global.datasite.com/platform/container/696652ec0dc07cc02daa26a0/documents/content/index/69cbccba5bd753d43968e00c","IHE")</f>
        <v/>
      </c>
      <c r="G1445" s="154" t="inlineStr">
        <is>
          <t>FOLDER</t>
        </is>
      </c>
      <c r="H1445" s="154" t="n"/>
      <c r="I1445" s="154" t="inlineStr">
        <is>
          <t>DOWNLOAD</t>
        </is>
      </c>
      <c r="J1445" s="154" t="n"/>
      <c r="K1445" s="154" t="inlineStr">
        <is>
          <t>Unread</t>
        </is>
      </c>
      <c r="L1445" s="158" t="n">
        <v>46195.66359459491</v>
      </c>
      <c r="M1445" s="154" t="inlineStr">
        <is>
          <t>69cbccba5bd753d43968e00c</t>
        </is>
      </c>
    </row>
    <row r="1446">
      <c r="A1446" s="154" t="inlineStr">
        <is>
          <t>Project Notos Clean Team</t>
        </is>
      </c>
      <c r="B1446" s="154" t="inlineStr">
        <is>
          <t>1.2.2.1</t>
        </is>
      </c>
      <c r="C1446" s="155" t="inlineStr">
        <is>
          <t>Components</t>
        </is>
      </c>
      <c r="D1446" s="156" t="n"/>
      <c r="E1446" s="156" t="n"/>
      <c r="F1446" s="157">
        <f>HYPERLINK("https://app.global.datasite.com/platform/container/696652ec0dc07cc02daa26a0/documents/content/index/69caa99a1937d5b42e54a7e7","Components")</f>
        <v/>
      </c>
      <c r="G1446" s="154" t="inlineStr">
        <is>
          <t>FOLDER</t>
        </is>
      </c>
      <c r="H1446" s="154" t="n"/>
      <c r="I1446" s="154" t="inlineStr">
        <is>
          <t>DOWNLOAD</t>
        </is>
      </c>
      <c r="J1446" s="154" t="n"/>
      <c r="K1446" s="154" t="inlineStr">
        <is>
          <t>Unread</t>
        </is>
      </c>
      <c r="L1446" s="158" t="n">
        <v>46195.66359459491</v>
      </c>
      <c r="M1446" s="154" t="inlineStr">
        <is>
          <t>69caa99a1937d5b42e54a7e7</t>
        </is>
      </c>
    </row>
    <row r="1447">
      <c r="A1447" s="154" t="inlineStr">
        <is>
          <t>Project Notos Clean Team</t>
        </is>
      </c>
      <c r="B1447" s="154" t="inlineStr">
        <is>
          <t>1.2.2.1.1</t>
        </is>
      </c>
      <c r="C1447" s="155" t="inlineStr">
        <is>
          <t>Supplier Pipes</t>
        </is>
      </c>
      <c r="D1447" s="156" t="n"/>
      <c r="E1447" s="156" t="n"/>
      <c r="F1447" s="157">
        <f>HYPERLINK("https://app.global.datasite.com/platform/container/696652ec0dc07cc02daa26a0/documents/content/index/69f0cea244d18e1469cecb2f","Supplier Pipes")</f>
        <v/>
      </c>
      <c r="G1447" s="154" t="inlineStr">
        <is>
          <t>FOLDER</t>
        </is>
      </c>
      <c r="H1447" s="154" t="n"/>
      <c r="I1447" s="154" t="inlineStr">
        <is>
          <t>DOWNLOAD</t>
        </is>
      </c>
      <c r="J1447" s="154" t="n"/>
      <c r="K1447" s="154" t="inlineStr">
        <is>
          <t>Unread</t>
        </is>
      </c>
      <c r="L1447" s="158" t="n">
        <v>46195.66359459491</v>
      </c>
      <c r="M1447" s="154" t="inlineStr">
        <is>
          <t>69f0cea244d18e1469cecb2f</t>
        </is>
      </c>
    </row>
    <row r="1448">
      <c r="A1448" s="154" t="inlineStr">
        <is>
          <t>Project Notos Clean Team</t>
        </is>
      </c>
      <c r="B1448" s="154" t="inlineStr">
        <is>
          <t>1.2.2.1.1.1</t>
        </is>
      </c>
      <c r="C1448" s="155" t="inlineStr">
        <is>
          <t>IHE_Supplier Pipes 20120705</t>
        </is>
      </c>
      <c r="D1448" s="156" t="n"/>
      <c r="E1448" s="156" t="n"/>
      <c r="F1448" s="157">
        <f>HYPERLINK("https://app.global.datasite.com/webviewer/?projectId=696652ec0dc07cc02daa26a0&amp;documentId=69caa949a55f36900f275d34","IHE_Supplier Pipes 20120705")</f>
        <v/>
      </c>
      <c r="G1448" s="154" t="inlineStr">
        <is>
          <t>DOCUMENT</t>
        </is>
      </c>
      <c r="H1448" s="154" t="inlineStr">
        <is>
          <t>pdf</t>
        </is>
      </c>
      <c r="I1448" s="154" t="inlineStr">
        <is>
          <t>DOWNLOAD</t>
        </is>
      </c>
      <c r="J1448" s="154" t="n">
        <v>1.52476119</v>
      </c>
      <c r="K1448" s="154" t="inlineStr">
        <is>
          <t>Unread</t>
        </is>
      </c>
      <c r="L1448" s="158" t="n">
        <v>46195.66359459491</v>
      </c>
      <c r="M1448" s="154" t="inlineStr">
        <is>
          <t>69caa949a55f36900f275d34</t>
        </is>
      </c>
    </row>
    <row r="1449">
      <c r="A1449" s="154" t="inlineStr">
        <is>
          <t>Project Notos Clean Team</t>
        </is>
      </c>
      <c r="B1449" s="154" t="inlineStr">
        <is>
          <t>1.2.2.1.1.2</t>
        </is>
      </c>
      <c r="C1449" s="155" t="inlineStr">
        <is>
          <t>IHE_Einkaufsbedingungen zum Vertrag vom 20120705_Supplier Pipes</t>
        </is>
      </c>
      <c r="D1449" s="156" t="n"/>
      <c r="E1449" s="156" t="n"/>
      <c r="F1449" s="157">
        <f>HYPERLINK("https://app.global.datasite.com/webviewer/?projectId=696652ec0dc07cc02daa26a0&amp;documentId=69caab1ece283fccb51ba5bd","IHE_Einkaufsbedingungen zum Vertrag vom 20120705_Supplier Pipes")</f>
        <v/>
      </c>
      <c r="G1449" s="154" t="inlineStr">
        <is>
          <t>DOCUMENT</t>
        </is>
      </c>
      <c r="H1449" s="154" t="inlineStr">
        <is>
          <t>pdf</t>
        </is>
      </c>
      <c r="I1449" s="154" t="inlineStr">
        <is>
          <t>DOWNLOAD</t>
        </is>
      </c>
      <c r="J1449" s="154" t="n">
        <v>0.9436607299999999</v>
      </c>
      <c r="K1449" s="154" t="inlineStr">
        <is>
          <t>Unread</t>
        </is>
      </c>
      <c r="L1449" s="158" t="n">
        <v>46195.66359459491</v>
      </c>
      <c r="M1449" s="154" t="inlineStr">
        <is>
          <t>69caab1ece283fccb51ba5bd</t>
        </is>
      </c>
    </row>
    <row r="1450">
      <c r="A1450" s="154" t="inlineStr">
        <is>
          <t>Project Notos Clean Team</t>
        </is>
      </c>
      <c r="B1450" s="154" t="inlineStr">
        <is>
          <t>1.2.2.1.2</t>
        </is>
      </c>
      <c r="C1450" s="155" t="inlineStr">
        <is>
          <t>Supplier Plastics Components</t>
        </is>
      </c>
      <c r="D1450" s="156" t="n"/>
      <c r="E1450" s="156" t="n"/>
      <c r="F1450" s="157">
        <f>HYPERLINK("https://app.global.datasite.com/platform/container/696652ec0dc07cc02daa26a0/documents/content/index/69f0cebb89ec196f869d30ea","Supplier Plastics Components")</f>
        <v/>
      </c>
      <c r="G1450" s="154" t="inlineStr">
        <is>
          <t>FOLDER</t>
        </is>
      </c>
      <c r="H1450" s="154" t="n"/>
      <c r="I1450" s="154" t="inlineStr">
        <is>
          <t>DOWNLOAD</t>
        </is>
      </c>
      <c r="J1450" s="154" t="n"/>
      <c r="K1450" s="154" t="inlineStr">
        <is>
          <t>Unread</t>
        </is>
      </c>
      <c r="L1450" s="158" t="n">
        <v>46195.66359459491</v>
      </c>
      <c r="M1450" s="154" t="inlineStr">
        <is>
          <t>69f0cebb89ec196f869d30ea</t>
        </is>
      </c>
    </row>
    <row r="1451">
      <c r="A1451" s="154" t="inlineStr">
        <is>
          <t>Project Notos Clean Team</t>
        </is>
      </c>
      <c r="B1451" s="154" t="inlineStr">
        <is>
          <t>1.2.2.1.2.1</t>
        </is>
      </c>
      <c r="C1451" s="155" t="inlineStr">
        <is>
          <t>IHE_Consignment Agreement_Supplier Components</t>
        </is>
      </c>
      <c r="D1451" s="156" t="n"/>
      <c r="E1451" s="156" t="n"/>
      <c r="F1451" s="157">
        <f>HYPERLINK("https://app.global.datasite.com/webviewer/?projectId=696652ec0dc07cc02daa26a0&amp;documentId=69f0cec6b7fabe3c482f68cb","IHE_Consignment Agreement_Supplier Components")</f>
        <v/>
      </c>
      <c r="G1451" s="154" t="inlineStr">
        <is>
          <t>DOCUMENT</t>
        </is>
      </c>
      <c r="H1451" s="154" t="inlineStr">
        <is>
          <t>pdf</t>
        </is>
      </c>
      <c r="I1451" s="154" t="inlineStr">
        <is>
          <t>DOWNLOAD</t>
        </is>
      </c>
      <c r="J1451" s="154" t="n">
        <v>0.34292316</v>
      </c>
      <c r="K1451" s="154" t="inlineStr">
        <is>
          <t>Unread</t>
        </is>
      </c>
      <c r="L1451" s="158" t="n">
        <v>46195.66359459491</v>
      </c>
      <c r="M1451" s="154" t="inlineStr">
        <is>
          <t>69f0cec6b7fabe3c482f68cb</t>
        </is>
      </c>
    </row>
    <row r="1452">
      <c r="A1452" s="154" t="inlineStr">
        <is>
          <t>Project Notos Clean Team</t>
        </is>
      </c>
      <c r="B1452" s="154" t="inlineStr">
        <is>
          <t>1.2.2.2</t>
        </is>
      </c>
      <c r="C1452" s="155" t="inlineStr">
        <is>
          <t>Gas</t>
        </is>
      </c>
      <c r="D1452" s="156" t="n"/>
      <c r="E1452" s="156" t="n"/>
      <c r="F1452" s="157">
        <f>HYPERLINK("https://app.global.datasite.com/platform/container/696652ec0dc07cc02daa26a0/documents/content/index/69caa9ae17350af3e89edd2d","Gas")</f>
        <v/>
      </c>
      <c r="G1452" s="154" t="inlineStr">
        <is>
          <t>FOLDER</t>
        </is>
      </c>
      <c r="H1452" s="154" t="n"/>
      <c r="I1452" s="154" t="inlineStr">
        <is>
          <t>DOWNLOAD</t>
        </is>
      </c>
      <c r="J1452" s="154" t="n"/>
      <c r="K1452" s="154" t="inlineStr">
        <is>
          <t>Unread</t>
        </is>
      </c>
      <c r="L1452" s="158" t="n">
        <v>46195.66359459491</v>
      </c>
      <c r="M1452" s="154" t="inlineStr">
        <is>
          <t>69caa9ae17350af3e89edd2d</t>
        </is>
      </c>
    </row>
    <row r="1453">
      <c r="A1453" s="154" t="inlineStr">
        <is>
          <t>Project Notos Clean Team</t>
        </is>
      </c>
      <c r="B1453" s="154" t="inlineStr">
        <is>
          <t>1.2.2.2.1</t>
        </is>
      </c>
      <c r="C1453" s="155" t="inlineStr">
        <is>
          <t>IHE_gas supply agreement_150531</t>
        </is>
      </c>
      <c r="D1453" s="156" t="n"/>
      <c r="E1453" s="156" t="n"/>
      <c r="F1453" s="157">
        <f>HYPERLINK("https://app.global.datasite.com/webviewer/?projectId=696652ec0dc07cc02daa26a0&amp;documentId=69bd1e02d52e3d657312988b","IHE_gas supply agreement_150531")</f>
        <v/>
      </c>
      <c r="G1453" s="154" t="inlineStr">
        <is>
          <t>DOCUMENT</t>
        </is>
      </c>
      <c r="H1453" s="154" t="inlineStr">
        <is>
          <t>pdf</t>
        </is>
      </c>
      <c r="I1453" s="154" t="inlineStr">
        <is>
          <t>DOWNLOAD</t>
        </is>
      </c>
      <c r="J1453" s="154" t="n">
        <v>5.19924926</v>
      </c>
      <c r="K1453" s="154" t="inlineStr">
        <is>
          <t>Unread</t>
        </is>
      </c>
      <c r="L1453" s="158" t="n">
        <v>46195.66359459491</v>
      </c>
      <c r="M1453" s="154" t="inlineStr">
        <is>
          <t>69bd1e02d52e3d657312988b</t>
        </is>
      </c>
    </row>
    <row r="1454">
      <c r="A1454" s="154" t="inlineStr">
        <is>
          <t>Project Notos Clean Team</t>
        </is>
      </c>
      <c r="B1454" s="154" t="inlineStr">
        <is>
          <t>1.2.2.2.2</t>
        </is>
      </c>
      <c r="C1454" s="155" t="inlineStr">
        <is>
          <t>IHE_addendum to gas supply agreement_260313</t>
        </is>
      </c>
      <c r="D1454" s="156" t="n"/>
      <c r="E1454" s="156" t="n"/>
      <c r="F1454" s="157">
        <f>HYPERLINK("https://app.global.datasite.com/webviewer/?projectId=696652ec0dc07cc02daa26a0&amp;documentId=69ca4f3b17350af3e89e8145","IHE_addendum to gas supply agreement_260313")</f>
        <v/>
      </c>
      <c r="G1454" s="154" t="inlineStr">
        <is>
          <t>DOCUMENT</t>
        </is>
      </c>
      <c r="H1454" s="154" t="inlineStr">
        <is>
          <t>pdf</t>
        </is>
      </c>
      <c r="I1454" s="154" t="inlineStr">
        <is>
          <t>DOWNLOAD</t>
        </is>
      </c>
      <c r="J1454" s="154" t="n">
        <v>1.51013374</v>
      </c>
      <c r="K1454" s="154" t="inlineStr">
        <is>
          <t>Unread</t>
        </is>
      </c>
      <c r="L1454" s="158" t="n">
        <v>46195.66359459491</v>
      </c>
      <c r="M1454" s="154" t="inlineStr">
        <is>
          <t>69ca4f3b17350af3e89e8145</t>
        </is>
      </c>
    </row>
    <row r="1455">
      <c r="A1455" s="154" t="inlineStr">
        <is>
          <t>Project Notos Clean Team</t>
        </is>
      </c>
      <c r="B1455" s="154" t="inlineStr">
        <is>
          <t>1.2.2.2.3</t>
        </is>
      </c>
      <c r="C1455" s="155" t="inlineStr">
        <is>
          <t>IHE_gas supply agreement_Messer_150428</t>
        </is>
      </c>
      <c r="D1455" s="156" t="n"/>
      <c r="E1455" s="156" t="n"/>
      <c r="F1455" s="157">
        <f>HYPERLINK("https://app.global.datasite.com/webviewer/?projectId=696652ec0dc07cc02daa26a0&amp;documentId=69ca4f2417350af3e89e8142","IHE_gas supply agreement_Messer_150428")</f>
        <v/>
      </c>
      <c r="G1455" s="154" t="inlineStr">
        <is>
          <t>DOCUMENT</t>
        </is>
      </c>
      <c r="H1455" s="154" t="inlineStr">
        <is>
          <t>pdf</t>
        </is>
      </c>
      <c r="I1455" s="154" t="inlineStr">
        <is>
          <t>DOWNLOAD</t>
        </is>
      </c>
      <c r="J1455" s="154" t="n">
        <v>5.20167446</v>
      </c>
      <c r="K1455" s="154" t="inlineStr">
        <is>
          <t>Unread</t>
        </is>
      </c>
      <c r="L1455" s="158" t="n">
        <v>46195.66359459491</v>
      </c>
      <c r="M1455" s="154" t="inlineStr">
        <is>
          <t>69ca4f2417350af3e89e8142</t>
        </is>
      </c>
    </row>
    <row r="1456">
      <c r="A1456" s="154" t="inlineStr">
        <is>
          <t>Project Notos Clean Team</t>
        </is>
      </c>
      <c r="B1456" s="154" t="inlineStr">
        <is>
          <t>1.2.2.3</t>
        </is>
      </c>
      <c r="C1456" s="155" t="inlineStr">
        <is>
          <t>Electricity</t>
        </is>
      </c>
      <c r="D1456" s="156" t="n"/>
      <c r="E1456" s="156" t="n"/>
      <c r="F1456" s="157">
        <f>HYPERLINK("https://app.global.datasite.com/platform/container/696652ec0dc07cc02daa26a0/documents/content/index/69cbd6d88014561b8619f642","Electricity")</f>
        <v/>
      </c>
      <c r="G1456" s="154" t="inlineStr">
        <is>
          <t>FOLDER</t>
        </is>
      </c>
      <c r="H1456" s="154" t="n"/>
      <c r="I1456" s="154" t="inlineStr">
        <is>
          <t>DOWNLOAD</t>
        </is>
      </c>
      <c r="J1456" s="154" t="n"/>
      <c r="K1456" s="154" t="inlineStr">
        <is>
          <t>Unread</t>
        </is>
      </c>
      <c r="L1456" s="158" t="n">
        <v>46195.66359459491</v>
      </c>
      <c r="M1456" s="154" t="inlineStr">
        <is>
          <t>69cbd6d88014561b8619f642</t>
        </is>
      </c>
    </row>
    <row r="1457">
      <c r="A1457" s="154" t="inlineStr">
        <is>
          <t>Project Notos Clean Team</t>
        </is>
      </c>
      <c r="B1457" s="154" t="inlineStr">
        <is>
          <t>1.2.2.3.1</t>
        </is>
      </c>
      <c r="C1457" s="155" t="inlineStr">
        <is>
          <t>IHE_Scholt Energy_confirmation_Neusiedl_241204</t>
        </is>
      </c>
      <c r="D1457" s="156" t="n"/>
      <c r="E1457" s="156" t="n"/>
      <c r="F1457" s="157">
        <f>HYPERLINK("https://app.global.datasite.com/webviewer/?projectId=696652ec0dc07cc02daa26a0&amp;documentId=69ca4d4e851a3033e13057ea","IHE_Scholt Energy_confirmation_Neusiedl_241204")</f>
        <v/>
      </c>
      <c r="G1457" s="154" t="inlineStr">
        <is>
          <t>DOCUMENT</t>
        </is>
      </c>
      <c r="H1457" s="154" t="inlineStr">
        <is>
          <t>pdf</t>
        </is>
      </c>
      <c r="I1457" s="154" t="inlineStr">
        <is>
          <t>DOWNLOAD</t>
        </is>
      </c>
      <c r="J1457" s="154" t="n">
        <v>0.267663</v>
      </c>
      <c r="K1457" s="154" t="inlineStr">
        <is>
          <t>Unread</t>
        </is>
      </c>
      <c r="L1457" s="158" t="n">
        <v>46195.66359459491</v>
      </c>
      <c r="M1457" s="154" t="inlineStr">
        <is>
          <t>69ca4d4e851a3033e13057ea</t>
        </is>
      </c>
    </row>
    <row r="1458">
      <c r="A1458" s="154" t="inlineStr">
        <is>
          <t>Project Notos Clean Team</t>
        </is>
      </c>
      <c r="B1458" s="154" t="inlineStr">
        <is>
          <t>1.2.2.3.2</t>
        </is>
      </c>
      <c r="C1458" s="155" t="inlineStr">
        <is>
          <t>IHE_Scholt Energy agreement_241129</t>
        </is>
      </c>
      <c r="D1458" s="156" t="n"/>
      <c r="E1458" s="156" t="n"/>
      <c r="F1458" s="157">
        <f>HYPERLINK("https://app.global.datasite.com/webviewer/?projectId=696652ec0dc07cc02daa26a0&amp;documentId=69ca4d4e851a3033e13057eb","IHE_Scholt Energy agreement_241129")</f>
        <v/>
      </c>
      <c r="G1458" s="154" t="inlineStr">
        <is>
          <t>DOCUMENT</t>
        </is>
      </c>
      <c r="H1458" s="154" t="inlineStr">
        <is>
          <t>pdf</t>
        </is>
      </c>
      <c r="I1458" s="154" t="inlineStr">
        <is>
          <t>DOWNLOAD</t>
        </is>
      </c>
      <c r="J1458" s="154" t="n">
        <v>2.90866947</v>
      </c>
      <c r="K1458" s="154" t="inlineStr">
        <is>
          <t>Unread</t>
        </is>
      </c>
      <c r="L1458" s="158" t="n">
        <v>46195.66359459491</v>
      </c>
      <c r="M1458" s="154" t="inlineStr">
        <is>
          <t>69ca4d4e851a3033e13057eb</t>
        </is>
      </c>
    </row>
    <row r="1459">
      <c r="A1459" s="154" t="inlineStr">
        <is>
          <t>Project Notos Clean Team</t>
        </is>
      </c>
      <c r="B1459" s="154" t="inlineStr">
        <is>
          <t>1.2.2.3.3</t>
        </is>
      </c>
      <c r="C1459" s="155" t="inlineStr">
        <is>
          <t>IHE_electricity supply contract_Kelag_241129</t>
        </is>
      </c>
      <c r="D1459" s="156" t="n"/>
      <c r="E1459" s="156" t="n"/>
      <c r="F1459" s="157">
        <f>HYPERLINK("https://app.global.datasite.com/webviewer/?projectId=696652ec0dc07cc02daa26a0&amp;documentId=69ca4d4e851a3033e13057ec","IHE_electricity supply contract_Kelag_241129")</f>
        <v/>
      </c>
      <c r="G1459" s="154" t="inlineStr">
        <is>
          <t>DOCUMENT</t>
        </is>
      </c>
      <c r="H1459" s="154" t="inlineStr">
        <is>
          <t>pdf</t>
        </is>
      </c>
      <c r="I1459" s="154" t="inlineStr">
        <is>
          <t>DOWNLOAD</t>
        </is>
      </c>
      <c r="J1459" s="154" t="n">
        <v>3.43984603</v>
      </c>
      <c r="K1459" s="154" t="inlineStr">
        <is>
          <t>Unread</t>
        </is>
      </c>
      <c r="L1459" s="158" t="n">
        <v>46195.66359459491</v>
      </c>
      <c r="M1459" s="154" t="inlineStr">
        <is>
          <t>69ca4d4e851a3033e13057ec</t>
        </is>
      </c>
    </row>
    <row r="1460">
      <c r="A1460" s="154" t="inlineStr">
        <is>
          <t>Project Notos Clean Team</t>
        </is>
      </c>
      <c r="B1460" s="154" t="inlineStr">
        <is>
          <t>1.2.2.3.4</t>
        </is>
      </c>
      <c r="C1460" s="155" t="inlineStr">
        <is>
          <t>IHE_Scholt Energy_confirmation_Kottingbrunn_241204</t>
        </is>
      </c>
      <c r="D1460" s="156" t="n"/>
      <c r="E1460" s="156" t="n"/>
      <c r="F1460" s="157">
        <f>HYPERLINK("https://app.global.datasite.com/webviewer/?projectId=696652ec0dc07cc02daa26a0&amp;documentId=69ca4d4e851a3033e13057ed","IHE_Scholt Energy_confirmation_Kottingbrunn_241204")</f>
        <v/>
      </c>
      <c r="G1460" s="154" t="inlineStr">
        <is>
          <t>DOCUMENT</t>
        </is>
      </c>
      <c r="H1460" s="154" t="inlineStr">
        <is>
          <t>pdf</t>
        </is>
      </c>
      <c r="I1460" s="154" t="inlineStr">
        <is>
          <t>DOWNLOAD</t>
        </is>
      </c>
      <c r="J1460" s="154" t="n">
        <v>0.2658472</v>
      </c>
      <c r="K1460" s="154" t="inlineStr">
        <is>
          <t>Unread</t>
        </is>
      </c>
      <c r="L1460" s="158" t="n">
        <v>46195.66359459491</v>
      </c>
      <c r="M1460" s="154" t="inlineStr">
        <is>
          <t>69ca4d4e851a3033e13057ed</t>
        </is>
      </c>
    </row>
    <row r="1461">
      <c r="A1461" s="154" t="inlineStr">
        <is>
          <t>Project Notos Clean Team</t>
        </is>
      </c>
      <c r="B1461" s="154" t="inlineStr">
        <is>
          <t>1.2.2.4</t>
        </is>
      </c>
      <c r="C1461" s="155" t="inlineStr">
        <is>
          <t>Logistics</t>
        </is>
      </c>
      <c r="D1461" s="156" t="n"/>
      <c r="E1461" s="156" t="n"/>
      <c r="F1461" s="157">
        <f>HYPERLINK("https://app.global.datasite.com/platform/container/696652ec0dc07cc02daa26a0/documents/content/index/69cbd6edf823513bf7f6fc88","Logistics")</f>
        <v/>
      </c>
      <c r="G1461" s="154" t="inlineStr">
        <is>
          <t>FOLDER</t>
        </is>
      </c>
      <c r="H1461" s="154" t="n"/>
      <c r="I1461" s="154" t="inlineStr">
        <is>
          <t>DOWNLOAD</t>
        </is>
      </c>
      <c r="J1461" s="154" t="n"/>
      <c r="K1461" s="154" t="inlineStr">
        <is>
          <t>Unread</t>
        </is>
      </c>
      <c r="L1461" s="158" t="n">
        <v>46195.66359459491</v>
      </c>
      <c r="M1461" s="154" t="inlineStr">
        <is>
          <t>69cbd6edf823513bf7f6fc88</t>
        </is>
      </c>
    </row>
    <row r="1462">
      <c r="A1462" s="154" t="inlineStr">
        <is>
          <t>Project Notos Clean Team</t>
        </is>
      </c>
      <c r="B1462" s="154" t="inlineStr">
        <is>
          <t>1.2.2.4.1</t>
        </is>
      </c>
      <c r="C1462" s="155" t="inlineStr">
        <is>
          <t>IHE_LZS_logistics services agreement_110225</t>
        </is>
      </c>
      <c r="D1462" s="156" t="n"/>
      <c r="E1462" s="156" t="n"/>
      <c r="F1462" s="157">
        <f>HYPERLINK("https://app.global.datasite.com/webviewer/?projectId=696652ec0dc07cc02daa26a0&amp;documentId=69ca4feeadc66d4b479af92e","IHE_LZS_logistics services agreement_110225")</f>
        <v/>
      </c>
      <c r="G1462" s="154" t="inlineStr">
        <is>
          <t>DOCUMENT</t>
        </is>
      </c>
      <c r="H1462" s="154" t="inlineStr">
        <is>
          <t>pdf</t>
        </is>
      </c>
      <c r="I1462" s="154" t="inlineStr">
        <is>
          <t>DOWNLOAD</t>
        </is>
      </c>
      <c r="J1462" s="154" t="n">
        <v>3.46492576</v>
      </c>
      <c r="K1462" s="154" t="inlineStr">
        <is>
          <t>Unread</t>
        </is>
      </c>
      <c r="L1462" s="158" t="n">
        <v>46195.66359459491</v>
      </c>
      <c r="M1462" s="154" t="inlineStr">
        <is>
          <t>69ca4feeadc66d4b479af92e</t>
        </is>
      </c>
    </row>
    <row r="1463">
      <c r="A1463" s="154" t="inlineStr">
        <is>
          <t>Project Notos Clean Team</t>
        </is>
      </c>
      <c r="B1463" s="154" t="inlineStr">
        <is>
          <t>1.2.3</t>
        </is>
      </c>
      <c r="C1463" s="155" t="inlineStr">
        <is>
          <t>FT</t>
        </is>
      </c>
      <c r="D1463" s="156" t="n"/>
      <c r="E1463" s="156" t="n"/>
      <c r="F1463" s="157">
        <f>HYPERLINK("https://app.global.datasite.com/platform/container/696652ec0dc07cc02daa26a0/documents/content/index/69f0cc1dcb001c882bc89631","FT")</f>
        <v/>
      </c>
      <c r="G1463" s="154" t="inlineStr">
        <is>
          <t>FOLDER</t>
        </is>
      </c>
      <c r="H1463" s="154" t="n"/>
      <c r="I1463" s="154" t="inlineStr">
        <is>
          <t>DOWNLOAD</t>
        </is>
      </c>
      <c r="J1463" s="154" t="n"/>
      <c r="K1463" s="154" t="inlineStr">
        <is>
          <t>Unread</t>
        </is>
      </c>
      <c r="L1463" s="158" t="n">
        <v>46195.66359459491</v>
      </c>
      <c r="M1463" s="154" t="inlineStr">
        <is>
          <t>69f0cc1dcb001c882bc89631</t>
        </is>
      </c>
    </row>
    <row r="1464">
      <c r="A1464" s="154" t="inlineStr">
        <is>
          <t>Project Notos Clean Team</t>
        </is>
      </c>
      <c r="B1464" s="154" t="inlineStr">
        <is>
          <t>1.2.3.1</t>
        </is>
      </c>
      <c r="C1464" s="155" t="inlineStr">
        <is>
          <t>Aluminum</t>
        </is>
      </c>
      <c r="D1464" s="156" t="n"/>
      <c r="E1464" s="156" t="n"/>
      <c r="F1464" s="157">
        <f>HYPERLINK("https://app.global.datasite.com/platform/container/696652ec0dc07cc02daa26a0/documents/content/index/69f0cc327062c7264e746988","Aluminum")</f>
        <v/>
      </c>
      <c r="G1464" s="154" t="inlineStr">
        <is>
          <t>FOLDER</t>
        </is>
      </c>
      <c r="H1464" s="154" t="n"/>
      <c r="I1464" s="154" t="inlineStr">
        <is>
          <t>DOWNLOAD</t>
        </is>
      </c>
      <c r="J1464" s="154" t="n"/>
      <c r="K1464" s="154" t="inlineStr">
        <is>
          <t>Unread</t>
        </is>
      </c>
      <c r="L1464" s="158" t="n">
        <v>46195.66359459491</v>
      </c>
      <c r="M1464" s="154" t="inlineStr">
        <is>
          <t>69f0cc327062c7264e746988</t>
        </is>
      </c>
    </row>
    <row r="1465">
      <c r="A1465" s="154" t="inlineStr">
        <is>
          <t>Project Notos Clean Team</t>
        </is>
      </c>
      <c r="B1465" s="154" t="inlineStr">
        <is>
          <t>1.2.3.1.1</t>
        </is>
      </c>
      <c r="C1465" s="155" t="inlineStr">
        <is>
          <t>Supplier 1</t>
        </is>
      </c>
      <c r="D1465" s="156" t="n"/>
      <c r="E1465" s="156" t="n"/>
      <c r="F1465" s="157">
        <f>HYPERLINK("https://app.global.datasite.com/platform/container/696652ec0dc07cc02daa26a0/documents/content/index/69f0d1821e673c19af3a18ec","Supplier 1")</f>
        <v/>
      </c>
      <c r="G1465" s="154" t="inlineStr">
        <is>
          <t>FOLDER</t>
        </is>
      </c>
      <c r="H1465" s="154" t="n"/>
      <c r="I1465" s="154" t="inlineStr">
        <is>
          <t>DOWNLOAD</t>
        </is>
      </c>
      <c r="J1465" s="154" t="n"/>
      <c r="K1465" s="154" t="inlineStr">
        <is>
          <t>Unread</t>
        </is>
      </c>
      <c r="L1465" s="158" t="n">
        <v>46195.66359459491</v>
      </c>
      <c r="M1465" s="154" t="inlineStr">
        <is>
          <t>69f0d1821e673c19af3a18ec</t>
        </is>
      </c>
    </row>
    <row r="1466">
      <c r="A1466" s="154" t="inlineStr">
        <is>
          <t>Project Notos Clean Team</t>
        </is>
      </c>
      <c r="B1466" s="154" t="inlineStr">
        <is>
          <t>1.2.3.1.1.1</t>
        </is>
      </c>
      <c r="C1466" s="155" t="inlineStr">
        <is>
          <t>FTT_Supplier_Aluminum</t>
        </is>
      </c>
      <c r="D1466" s="156" t="n"/>
      <c r="E1466" s="156" t="n"/>
      <c r="F1466" s="157">
        <f>HYPERLINK("https://app.global.datasite.com/webviewer/?projectId=696652ec0dc07cc02daa26a0&amp;documentId=69f0ccdd248cc7b7928bf949","FTT_Supplier_Aluminum")</f>
        <v/>
      </c>
      <c r="G1466" s="154" t="inlineStr">
        <is>
          <t>DOCUMENT</t>
        </is>
      </c>
      <c r="H1466" s="154" t="inlineStr">
        <is>
          <t>pdf</t>
        </is>
      </c>
      <c r="I1466" s="154" t="inlineStr">
        <is>
          <t>DOWNLOAD</t>
        </is>
      </c>
      <c r="J1466" s="154" t="n">
        <v>5.81286811</v>
      </c>
      <c r="K1466" s="154" t="inlineStr">
        <is>
          <t>Unread</t>
        </is>
      </c>
      <c r="L1466" s="158" t="n">
        <v>46195.66359459491</v>
      </c>
      <c r="M1466" s="154" t="inlineStr">
        <is>
          <t>69f0ccdd248cc7b7928bf949</t>
        </is>
      </c>
    </row>
    <row r="1467">
      <c r="A1467" s="154" t="inlineStr">
        <is>
          <t>Project Notos Clean Team</t>
        </is>
      </c>
      <c r="B1467" s="154" t="inlineStr">
        <is>
          <t>1.2.3.1.2</t>
        </is>
      </c>
      <c r="C1467" s="155" t="inlineStr">
        <is>
          <t>Supplier 2</t>
        </is>
      </c>
      <c r="D1467" s="156" t="n"/>
      <c r="E1467" s="156" t="n"/>
      <c r="F1467" s="157">
        <f>HYPERLINK("https://app.global.datasite.com/platform/container/696652ec0dc07cc02daa26a0/documents/content/index/69f0d19289ec196f869d31f4","Supplier 2")</f>
        <v/>
      </c>
      <c r="G1467" s="154" t="inlineStr">
        <is>
          <t>FOLDER</t>
        </is>
      </c>
      <c r="H1467" s="154" t="n"/>
      <c r="I1467" s="154" t="inlineStr">
        <is>
          <t>DOWNLOAD</t>
        </is>
      </c>
      <c r="J1467" s="154" t="n"/>
      <c r="K1467" s="154" t="inlineStr">
        <is>
          <t>Unread</t>
        </is>
      </c>
      <c r="L1467" s="158" t="n">
        <v>46195.66359459491</v>
      </c>
      <c r="M1467" s="154" t="inlineStr">
        <is>
          <t>69f0d19289ec196f869d31f4</t>
        </is>
      </c>
    </row>
    <row r="1468">
      <c r="A1468" s="154" t="inlineStr">
        <is>
          <t>Project Notos Clean Team</t>
        </is>
      </c>
      <c r="B1468" s="154" t="inlineStr">
        <is>
          <t>1.2.3.1.2.1</t>
        </is>
      </c>
      <c r="C1468" s="155" t="inlineStr">
        <is>
          <t>FT_Order_Supplier Aluminum</t>
        </is>
      </c>
      <c r="D1468" s="156" t="n"/>
      <c r="E1468" s="156" t="n"/>
      <c r="F1468" s="157">
        <f>HYPERLINK("https://app.global.datasite.com/webviewer/?projectId=696652ec0dc07cc02daa26a0&amp;documentId=69f0d1a51e673c19af3a18f3","FT_Order_Supplier Aluminum")</f>
        <v/>
      </c>
      <c r="G1468" s="154" t="inlineStr">
        <is>
          <t>DOCUMENT</t>
        </is>
      </c>
      <c r="H1468" s="154" t="inlineStr">
        <is>
          <t>pdf</t>
        </is>
      </c>
      <c r="I1468" s="154" t="inlineStr">
        <is>
          <t>DOWNLOAD</t>
        </is>
      </c>
      <c r="J1468" s="154" t="n">
        <v>0.10270404</v>
      </c>
      <c r="K1468" s="154" t="inlineStr">
        <is>
          <t>Unread</t>
        </is>
      </c>
      <c r="L1468" s="158" t="n">
        <v>46195.66359459491</v>
      </c>
      <c r="M1468" s="154" t="inlineStr">
        <is>
          <t>69f0d1a51e673c19af3a18f3</t>
        </is>
      </c>
    </row>
    <row r="1469">
      <c r="A1469" s="154" t="inlineStr">
        <is>
          <t>Project Notos Clean Team</t>
        </is>
      </c>
      <c r="B1469" s="154" t="inlineStr">
        <is>
          <t>1.2.4</t>
        </is>
      </c>
      <c r="C1469" s="155" t="inlineStr">
        <is>
          <t>Group</t>
        </is>
      </c>
      <c r="D1469" s="156" t="n"/>
      <c r="E1469" s="156" t="n"/>
      <c r="F1469" s="157">
        <f>HYPERLINK("https://app.global.datasite.com/platform/container/696652ec0dc07cc02daa26a0/documents/content/index/69f0cfd09c1b443a4682a306","Group")</f>
        <v/>
      </c>
      <c r="G1469" s="154" t="inlineStr">
        <is>
          <t>FOLDER</t>
        </is>
      </c>
      <c r="H1469" s="154" t="n"/>
      <c r="I1469" s="154" t="inlineStr">
        <is>
          <t>DOWNLOAD</t>
        </is>
      </c>
      <c r="J1469" s="154" t="n"/>
      <c r="K1469" s="154" t="inlineStr">
        <is>
          <t>Unread</t>
        </is>
      </c>
      <c r="L1469" s="158" t="n">
        <v>46195.66359459491</v>
      </c>
      <c r="M1469" s="154" t="inlineStr">
        <is>
          <t>69f0cfd09c1b443a4682a306</t>
        </is>
      </c>
    </row>
    <row r="1470">
      <c r="A1470" s="154" t="inlineStr">
        <is>
          <t>Project Notos Clean Team</t>
        </is>
      </c>
      <c r="B1470" s="154" t="inlineStr">
        <is>
          <t>1.2.4.1</t>
        </is>
      </c>
      <c r="C1470" s="155" t="inlineStr">
        <is>
          <t>Aluminum</t>
        </is>
      </c>
      <c r="D1470" s="156" t="n"/>
      <c r="E1470" s="156" t="n"/>
      <c r="F1470" s="157">
        <f>HYPERLINK("https://app.global.datasite.com/platform/container/696652ec0dc07cc02daa26a0/documents/content/index/69f0cfdb4726bceaab3e56a6","Aluminum")</f>
        <v/>
      </c>
      <c r="G1470" s="154" t="inlineStr">
        <is>
          <t>FOLDER</t>
        </is>
      </c>
      <c r="H1470" s="154" t="n"/>
      <c r="I1470" s="154" t="inlineStr">
        <is>
          <t>DOWNLOAD</t>
        </is>
      </c>
      <c r="J1470" s="154" t="n"/>
      <c r="K1470" s="154" t="inlineStr">
        <is>
          <t>Unread</t>
        </is>
      </c>
      <c r="L1470" s="158" t="n">
        <v>46195.66359459491</v>
      </c>
      <c r="M1470" s="154" t="inlineStr">
        <is>
          <t>69f0cfdb4726bceaab3e56a6</t>
        </is>
      </c>
    </row>
    <row r="1471">
      <c r="A1471" s="154" t="inlineStr">
        <is>
          <t>Project Notos Clean Team</t>
        </is>
      </c>
      <c r="B1471" s="154" t="inlineStr">
        <is>
          <t>1.2.4.1.1</t>
        </is>
      </c>
      <c r="C1471" s="155" t="inlineStr">
        <is>
          <t>Innerio Group_Contract_Supplier Aluminum</t>
        </is>
      </c>
      <c r="D1471" s="156" t="n"/>
      <c r="E1471" s="156" t="n"/>
      <c r="F1471" s="157">
        <f>HYPERLINK("https://app.global.datasite.com/webviewer/?projectId=696652ec0dc07cc02daa26a0&amp;documentId=69f0cfefcb001c882bc89772","Innerio Group_Contract_Supplier Aluminum")</f>
        <v/>
      </c>
      <c r="G1471" s="154" t="inlineStr">
        <is>
          <t>DOCUMENT</t>
        </is>
      </c>
      <c r="H1471" s="154" t="inlineStr">
        <is>
          <t>pdf</t>
        </is>
      </c>
      <c r="I1471" s="154" t="inlineStr">
        <is>
          <t>DOWNLOAD</t>
        </is>
      </c>
      <c r="J1471" s="154" t="n">
        <v>2.70791244</v>
      </c>
      <c r="K1471" s="154" t="inlineStr">
        <is>
          <t>Unread</t>
        </is>
      </c>
      <c r="L1471" s="158" t="n">
        <v>46195.66359459491</v>
      </c>
      <c r="M1471" s="154" t="inlineStr">
        <is>
          <t>69f0cfefcb001c882bc89772</t>
        </is>
      </c>
    </row>
    <row r="1472">
      <c r="A1472" s="154" t="inlineStr">
        <is>
          <t>Project Notos Clean Team</t>
        </is>
      </c>
      <c r="B1472" s="154" t="inlineStr">
        <is>
          <t>1.3</t>
        </is>
      </c>
      <c r="C1472" s="155" t="inlineStr">
        <is>
          <t>General</t>
        </is>
      </c>
      <c r="D1472" s="156" t="n"/>
      <c r="E1472" s="156" t="n"/>
      <c r="F1472" s="157">
        <f>HYPERLINK("https://app.global.datasite.com/platform/container/696652ec0dc07cc02daa26a0/documents/content/index/6a19f4f29df593fd56cc7421","General")</f>
        <v/>
      </c>
      <c r="G1472" s="154" t="inlineStr">
        <is>
          <t>FOLDER</t>
        </is>
      </c>
      <c r="H1472" s="154" t="n"/>
      <c r="I1472" s="154" t="inlineStr">
        <is>
          <t>DOWNLOAD</t>
        </is>
      </c>
      <c r="J1472" s="154" t="n"/>
      <c r="K1472" s="154" t="inlineStr">
        <is>
          <t>Unread</t>
        </is>
      </c>
      <c r="L1472" s="158" t="n">
        <v>46195.66359459491</v>
      </c>
      <c r="M1472" s="154" t="inlineStr">
        <is>
          <t>6a19f4f29df593fd56cc7421</t>
        </is>
      </c>
    </row>
    <row r="1473">
      <c r="A1473" s="154" t="inlineStr">
        <is>
          <t>Project Notos Clean Team</t>
        </is>
      </c>
      <c r="B1473" s="154" t="inlineStr">
        <is>
          <t>1.3.1</t>
        </is>
      </c>
      <c r="C1473" s="155" t="inlineStr">
        <is>
          <t>20260428_Presentation_Oasis_2_Status_CW17</t>
        </is>
      </c>
      <c r="D1473" s="156" t="n"/>
      <c r="E1473" s="156" t="n"/>
      <c r="F1473" s="157">
        <f>HYPERLINK("https://app.global.datasite.com/webviewer/?projectId=696652ec0dc07cc02daa26a0&amp;documentId=6a194d699df593fd56cc089c","20260428_Presentation_Oasis_2_Status_CW17")</f>
        <v/>
      </c>
      <c r="G1473" s="154" t="inlineStr">
        <is>
          <t>DOCUMENT</t>
        </is>
      </c>
      <c r="H1473" s="154" t="inlineStr">
        <is>
          <t>pdf</t>
        </is>
      </c>
      <c r="I1473" s="154" t="inlineStr">
        <is>
          <t>DOWNLOAD</t>
        </is>
      </c>
      <c r="J1473" s="154" t="n">
        <v>1.30571651</v>
      </c>
      <c r="K1473" s="154" t="inlineStr">
        <is>
          <t>Unread</t>
        </is>
      </c>
      <c r="L1473" s="158" t="n">
        <v>46195.66359459491</v>
      </c>
      <c r="M1473" s="154" t="inlineStr">
        <is>
          <t>6a194d699df593fd56cc089c</t>
        </is>
      </c>
    </row>
    <row r="1474">
      <c r="A1474" s="154" t="inlineStr">
        <is>
          <t>Project Notos Clean Team</t>
        </is>
      </c>
      <c r="B1474" s="154" t="inlineStr">
        <is>
          <t>1.3.2</t>
        </is>
      </c>
      <c r="C1474" s="155" t="inlineStr">
        <is>
          <t>20260518_Cost Reduction Program_MGMT Review</t>
        </is>
      </c>
      <c r="D1474" s="156" t="n"/>
      <c r="E1474" s="156" t="n"/>
      <c r="F1474" s="157">
        <f>HYPERLINK("https://app.global.datasite.com/webviewer/?projectId=696652ec0dc07cc02daa26a0&amp;documentId=6a1d93d7a30300007eaf9f68","20260518_Cost Reduction Program_MGMT Review")</f>
        <v/>
      </c>
      <c r="G1474" s="154" t="inlineStr">
        <is>
          <t>DOCUMENT</t>
        </is>
      </c>
      <c r="H1474" s="154" t="inlineStr">
        <is>
          <t>pdf</t>
        </is>
      </c>
      <c r="I1474" s="154" t="inlineStr">
        <is>
          <t>DOWNLOAD</t>
        </is>
      </c>
      <c r="J1474" s="154" t="n">
        <v>0.21753501</v>
      </c>
      <c r="K1474" s="154" t="inlineStr">
        <is>
          <t>Unread</t>
        </is>
      </c>
      <c r="L1474" s="158" t="n">
        <v>46195.66359459491</v>
      </c>
      <c r="M1474" s="154" t="inlineStr">
        <is>
          <t>6a1d93d7a30300007eaf9f68</t>
        </is>
      </c>
    </row>
    <row r="1475">
      <c r="A1475" s="154" t="inlineStr">
        <is>
          <t>Project Notos Clean Team</t>
        </is>
      </c>
      <c r="B1475" s="154" t="inlineStr">
        <is>
          <t>2</t>
        </is>
      </c>
      <c r="C1475" s="155" t="inlineStr">
        <is>
          <t>Employment</t>
        </is>
      </c>
      <c r="D1475" s="156" t="n"/>
      <c r="E1475" s="156" t="n"/>
      <c r="F1475" s="157">
        <f>HYPERLINK("https://app.global.datasite.com/platform/container/696652ec0dc07cc02daa26a0/documents/content/index/69bd2845d52e3d6573129bac","Employment")</f>
        <v/>
      </c>
      <c r="G1475" s="154" t="inlineStr">
        <is>
          <t>FOLDER</t>
        </is>
      </c>
      <c r="H1475" s="154" t="n"/>
      <c r="I1475" s="154" t="inlineStr">
        <is>
          <t>DOWNLOAD</t>
        </is>
      </c>
      <c r="J1475" s="154" t="n"/>
      <c r="K1475" s="154" t="inlineStr">
        <is>
          <t>Unread</t>
        </is>
      </c>
      <c r="L1475" s="158" t="n">
        <v>46195.66359459491</v>
      </c>
      <c r="M1475" s="154" t="inlineStr">
        <is>
          <t>69bd2845d52e3d6573129bac</t>
        </is>
      </c>
    </row>
    <row r="1476">
      <c r="A1476" s="154" t="inlineStr">
        <is>
          <t>Project Notos Clean Team</t>
        </is>
      </c>
      <c r="B1476" s="154" t="inlineStr">
        <is>
          <t>2.1</t>
        </is>
      </c>
      <c r="C1476" s="155" t="inlineStr">
        <is>
          <t>IHE</t>
        </is>
      </c>
      <c r="D1476" s="156" t="n"/>
      <c r="E1476" s="156" t="n"/>
      <c r="F1476" s="157">
        <f>HYPERLINK("https://app.global.datasite.com/platform/container/696652ec0dc07cc02daa26a0/documents/content/index/69cd026a14eba47f8773886d","IHE")</f>
        <v/>
      </c>
      <c r="G1476" s="154" t="inlineStr">
        <is>
          <t>FOLDER</t>
        </is>
      </c>
      <c r="H1476" s="154" t="n"/>
      <c r="I1476" s="154" t="inlineStr">
        <is>
          <t>DOWNLOAD</t>
        </is>
      </c>
      <c r="J1476" s="154" t="n"/>
      <c r="K1476" s="154" t="inlineStr">
        <is>
          <t>Unread</t>
        </is>
      </c>
      <c r="L1476" s="158" t="n">
        <v>46195.66359459491</v>
      </c>
      <c r="M1476" s="154" t="inlineStr">
        <is>
          <t>69cd026a14eba47f8773886d</t>
        </is>
      </c>
    </row>
    <row r="1477">
      <c r="A1477" s="154" t="inlineStr">
        <is>
          <t>Project Notos Clean Team</t>
        </is>
      </c>
      <c r="B1477" s="154" t="inlineStr">
        <is>
          <t>2.1.1</t>
        </is>
      </c>
      <c r="C1477" s="155" t="inlineStr">
        <is>
          <t>IHE_Betriebsräte</t>
        </is>
      </c>
      <c r="D1477" s="156" t="n"/>
      <c r="E1477" s="156" t="n"/>
      <c r="F1477" s="157">
        <f>HYPERLINK("https://app.global.datasite.com/webviewer/?projectId=696652ec0dc07cc02daa26a0&amp;documentId=69cbdc64adc66d4b479bb419","IHE_Betriebsräte")</f>
        <v/>
      </c>
      <c r="G1477" s="154" t="inlineStr">
        <is>
          <t>DOCUMENT</t>
        </is>
      </c>
      <c r="H1477" s="154" t="inlineStr">
        <is>
          <t>xlsx</t>
        </is>
      </c>
      <c r="I1477" s="154" t="inlineStr">
        <is>
          <t>DOWNLOAD</t>
        </is>
      </c>
      <c r="J1477" s="154" t="n">
        <v>0.00807857</v>
      </c>
      <c r="K1477" s="154" t="inlineStr">
        <is>
          <t>Unread</t>
        </is>
      </c>
      <c r="L1477" s="158" t="n">
        <v>46195.66359459491</v>
      </c>
      <c r="M1477" s="154" t="inlineStr">
        <is>
          <t>69cbdc64adc66d4b479bb419</t>
        </is>
      </c>
    </row>
    <row r="1478">
      <c r="A1478" s="154" t="inlineStr">
        <is>
          <t>Project Notos Clean Team</t>
        </is>
      </c>
      <c r="B1478" s="154" t="inlineStr">
        <is>
          <t>2.2</t>
        </is>
      </c>
      <c r="C1478" s="155" t="inlineStr">
        <is>
          <t>FT</t>
        </is>
      </c>
      <c r="D1478" s="156" t="n"/>
      <c r="E1478" s="156" t="n"/>
      <c r="F1478" s="157">
        <f>HYPERLINK("https://app.global.datasite.com/platform/container/696652ec0dc07cc02daa26a0/documents/content/index/69dfdac94748b97ada8a6d0c","FT")</f>
        <v/>
      </c>
      <c r="G1478" s="154" t="inlineStr">
        <is>
          <t>FOLDER</t>
        </is>
      </c>
      <c r="H1478" s="154" t="n"/>
      <c r="I1478" s="154" t="inlineStr">
        <is>
          <t>DOWNLOAD</t>
        </is>
      </c>
      <c r="J1478" s="154" t="n"/>
      <c r="K1478" s="154" t="inlineStr">
        <is>
          <t>Unread</t>
        </is>
      </c>
      <c r="L1478" s="158" t="n">
        <v>46195.66359459491</v>
      </c>
      <c r="M1478" s="154" t="inlineStr">
        <is>
          <t>69dfdac94748b97ada8a6d0c</t>
        </is>
      </c>
    </row>
    <row r="1479">
      <c r="A1479" s="154" t="inlineStr">
        <is>
          <t>Project Notos Clean Team</t>
        </is>
      </c>
      <c r="B1479" s="154" t="inlineStr">
        <is>
          <t>2.2.1</t>
        </is>
      </c>
      <c r="C1479" s="155" t="inlineStr">
        <is>
          <t>FT_works councils members_02-26</t>
        </is>
      </c>
      <c r="D1479" s="156" t="n"/>
      <c r="E1479" s="156" t="n"/>
      <c r="F1479" s="157">
        <f>HYPERLINK("https://app.global.datasite.com/webviewer/?projectId=696652ec0dc07cc02daa26a0&amp;documentId=69cf77588f24799c19702bb8","FT_works councils members_02-26")</f>
        <v/>
      </c>
      <c r="G1479" s="154" t="inlineStr">
        <is>
          <t>DOCUMENT</t>
        </is>
      </c>
      <c r="H1479" s="154" t="inlineStr">
        <is>
          <t>xlsx</t>
        </is>
      </c>
      <c r="I1479" s="154" t="inlineStr">
        <is>
          <t>DOWNLOAD</t>
        </is>
      </c>
      <c r="J1479" s="154" t="n">
        <v>0.00765132</v>
      </c>
      <c r="K1479" s="154" t="inlineStr">
        <is>
          <t>Unread</t>
        </is>
      </c>
      <c r="L1479" s="158" t="n">
        <v>46195.66359459491</v>
      </c>
      <c r="M1479" s="154" t="inlineStr">
        <is>
          <t>69cf77588f24799c19702bb8</t>
        </is>
      </c>
    </row>
    <row r="1480">
      <c r="A1480" s="154" t="inlineStr">
        <is>
          <t>Project Notos Clean Team</t>
        </is>
      </c>
      <c r="B1480" s="154" t="inlineStr">
        <is>
          <t>2.3</t>
        </is>
      </c>
      <c r="C1480" s="155" t="inlineStr">
        <is>
          <t>Innerio Group</t>
        </is>
      </c>
      <c r="D1480" s="156" t="n"/>
      <c r="E1480" s="156" t="n"/>
      <c r="F1480" s="157">
        <f>HYPERLINK("https://app.global.datasite.com/platform/container/696652ec0dc07cc02daa26a0/documents/content/index/6a4bda5b2dca342778038c19","Innerio Group")</f>
        <v/>
      </c>
      <c r="G1480" s="154" t="inlineStr">
        <is>
          <t>FOLDER</t>
        </is>
      </c>
      <c r="H1480" s="154" t="n"/>
      <c r="I1480" s="154" t="inlineStr">
        <is>
          <t>DOWNLOAD</t>
        </is>
      </c>
      <c r="J1480" s="154" t="n"/>
      <c r="K1480" s="154" t="inlineStr">
        <is>
          <t>Unread</t>
        </is>
      </c>
      <c r="L1480" s="158" t="n">
        <v>46209.78056866898</v>
      </c>
      <c r="M1480" s="154" t="inlineStr">
        <is>
          <t>6a4bda5b2dca342778038c19</t>
        </is>
      </c>
    </row>
    <row r="1481">
      <c r="A1481" s="154" t="inlineStr">
        <is>
          <t>Project Notos Clean Team</t>
        </is>
      </c>
      <c r="B1481" s="154" t="inlineStr">
        <is>
          <t>2.3.1</t>
        </is>
      </c>
      <c r="C1481" s="155" t="inlineStr">
        <is>
          <t>Innerio Group_Employee list</t>
        </is>
      </c>
      <c r="D1481" s="156" t="n"/>
      <c r="E1481" s="156" t="n"/>
      <c r="F1481" s="157">
        <f>HYPERLINK("https://app.global.datasite.com/webviewer/?projectId=696652ec0dc07cc02daa26a0&amp;documentId=6a4bdb2585ad1bba7de0a611","Innerio Group_Employee list")</f>
        <v/>
      </c>
      <c r="G1481" s="154" t="inlineStr">
        <is>
          <t>DOCUMENT</t>
        </is>
      </c>
      <c r="H1481" s="154" t="inlineStr">
        <is>
          <t>xlsm</t>
        </is>
      </c>
      <c r="I1481" s="154" t="inlineStr">
        <is>
          <t>DOWNLOAD</t>
        </is>
      </c>
      <c r="J1481" s="154" t="n">
        <v>0.10781478</v>
      </c>
      <c r="K1481" s="154" t="inlineStr">
        <is>
          <t>Unread</t>
        </is>
      </c>
      <c r="L1481" s="158" t="n">
        <v>46209.78057013889</v>
      </c>
      <c r="M1481" s="154" t="inlineStr">
        <is>
          <t>6a4bdb2585ad1bba7de0a611</t>
        </is>
      </c>
    </row>
    <row r="1482">
      <c r="A1482" s="154" t="inlineStr">
        <is>
          <t>Project Notos Clean Team</t>
        </is>
      </c>
      <c r="B1482" s="154" t="inlineStr">
        <is>
          <t>3</t>
        </is>
      </c>
      <c r="C1482" s="155" t="inlineStr">
        <is>
          <t>Machinery</t>
        </is>
      </c>
      <c r="D1482" s="156" t="n"/>
      <c r="E1482" s="156" t="n"/>
      <c r="F1482" s="157">
        <f>HYPERLINK("https://app.global.datasite.com/platform/container/696652ec0dc07cc02daa26a0/documents/content/index/69de6a9799f304ec15a60417","Machinery")</f>
        <v/>
      </c>
      <c r="G1482" s="154" t="inlineStr">
        <is>
          <t>FOLDER</t>
        </is>
      </c>
      <c r="H1482" s="154" t="n"/>
      <c r="I1482" s="154" t="inlineStr">
        <is>
          <t>DOWNLOAD</t>
        </is>
      </c>
      <c r="J1482" s="154" t="n"/>
      <c r="K1482" s="154" t="inlineStr">
        <is>
          <t>Unread</t>
        </is>
      </c>
      <c r="L1482" s="158" t="n">
        <v>46195.66359459491</v>
      </c>
      <c r="M1482" s="154" t="inlineStr">
        <is>
          <t>69de6a9799f304ec15a60417</t>
        </is>
      </c>
    </row>
    <row r="1483">
      <c r="A1483" s="154" t="inlineStr">
        <is>
          <t>Project Notos Clean Team</t>
        </is>
      </c>
      <c r="B1483" s="154" t="inlineStr">
        <is>
          <t>3.1</t>
        </is>
      </c>
      <c r="C1483" s="155" t="inlineStr">
        <is>
          <t>Innerio Group_Machine List_total_redacted</t>
        </is>
      </c>
      <c r="D1483" s="156" t="n"/>
      <c r="E1483" s="156" t="n"/>
      <c r="F1483" s="157">
        <f>HYPERLINK("https://app.global.datasite.com/webviewer/?projectId=696652ec0dc07cc02daa26a0&amp;documentId=69ea48341e673c19af384c85","Innerio Group_Machine List_total_redacted")</f>
        <v/>
      </c>
      <c r="G1483" s="154" t="inlineStr">
        <is>
          <t>DOCUMENT</t>
        </is>
      </c>
      <c r="H1483" s="154" t="inlineStr">
        <is>
          <t>xlsx</t>
        </is>
      </c>
      <c r="I1483" s="154" t="inlineStr">
        <is>
          <t>DOWNLOAD</t>
        </is>
      </c>
      <c r="J1483" s="154" t="n">
        <v>0.0275526</v>
      </c>
      <c r="K1483" s="154" t="inlineStr">
        <is>
          <t>Read</t>
        </is>
      </c>
      <c r="L1483" s="158" t="n">
        <v>46195.66359459491</v>
      </c>
      <c r="M1483" s="154" t="inlineStr">
        <is>
          <t>69ea48341e673c19af384c85</t>
        </is>
      </c>
    </row>
    <row r="1484">
      <c r="A1484" s="154" t="inlineStr">
        <is>
          <t>Project Notos Clean Team</t>
        </is>
      </c>
      <c r="B1484" s="154" t="inlineStr">
        <is>
          <t>3.2</t>
        </is>
      </c>
      <c r="C1484" s="155" t="inlineStr">
        <is>
          <t>Utilization_IG_2026_2028_redacted</t>
        </is>
      </c>
      <c r="D1484" s="156" t="n"/>
      <c r="E1484" s="156" t="n"/>
      <c r="F1484" s="157">
        <f>HYPERLINK("https://app.global.datasite.com/webviewer/?projectId=696652ec0dc07cc02daa26a0&amp;documentId=6a19427d5e05b660ca6afc09","Utilization_IG_2026_2028_redacted")</f>
        <v/>
      </c>
      <c r="G1484" s="154" t="inlineStr">
        <is>
          <t>DOCUMENT</t>
        </is>
      </c>
      <c r="H1484" s="154" t="inlineStr">
        <is>
          <t>xlsx</t>
        </is>
      </c>
      <c r="I1484" s="154" t="inlineStr">
        <is>
          <t>DOWNLOAD</t>
        </is>
      </c>
      <c r="J1484" s="154" t="n">
        <v>0.01179981</v>
      </c>
      <c r="K1484" s="154" t="inlineStr">
        <is>
          <t>Read</t>
        </is>
      </c>
      <c r="L1484" s="158" t="n">
        <v>46195.66359459491</v>
      </c>
      <c r="M1484" s="154" t="inlineStr">
        <is>
          <t>6a19427d5e05b660ca6afc09</t>
        </is>
      </c>
    </row>
    <row r="1485">
      <c r="A1485" s="154" t="inlineStr">
        <is>
          <t>Project Notos Clean Team</t>
        </is>
      </c>
      <c r="B1485" s="154" t="inlineStr">
        <is>
          <t>3.3</t>
        </is>
      </c>
      <c r="C1485" s="155" t="inlineStr">
        <is>
          <t>Utilization_IG_2026_2028_redacted (updated)</t>
        </is>
      </c>
      <c r="D1485" s="156" t="n"/>
      <c r="E1485" s="156" t="n"/>
      <c r="F1485" s="157">
        <f>HYPERLINK("https://app.global.datasite.com/webviewer/?projectId=696652ec0dc07cc02daa26a0&amp;documentId=6a2c2a8f559abfe61af58e9f","Utilization_IG_2026_2028_redacted (updated)")</f>
        <v/>
      </c>
      <c r="G1485" s="154" t="inlineStr">
        <is>
          <t>DOCUMENT</t>
        </is>
      </c>
      <c r="H1485" s="154" t="inlineStr">
        <is>
          <t>xlsx</t>
        </is>
      </c>
      <c r="I1485" s="154" t="inlineStr">
        <is>
          <t>DOWNLOAD</t>
        </is>
      </c>
      <c r="J1485" s="154" t="n">
        <v>0.01237583</v>
      </c>
      <c r="K1485" s="154" t="inlineStr">
        <is>
          <t>Read</t>
        </is>
      </c>
      <c r="L1485" s="158" t="n">
        <v>46195.66359459491</v>
      </c>
      <c r="M1485" s="154" t="inlineStr">
        <is>
          <t>6a2c2a8f559abfe61af58e9f</t>
        </is>
      </c>
    </row>
    <row r="1486">
      <c r="A1486" s="154" t="inlineStr">
        <is>
          <t>Project Notos Clean Team</t>
        </is>
      </c>
      <c r="B1486" s="154" t="inlineStr">
        <is>
          <t>3.4</t>
        </is>
      </c>
      <c r="C1486" s="155" t="inlineStr">
        <is>
          <t>Utilization_IG_2026_2028_incl_capacity</t>
        </is>
      </c>
      <c r="D1486" s="156" t="n"/>
      <c r="E1486" s="156" t="n"/>
      <c r="F1486" s="157">
        <f>HYPERLINK("https://app.global.datasite.com/webviewer/?projectId=696652ec0dc07cc02daa26a0&amp;documentId=6a3989cd828e1224b69c8a89","Utilization_IG_2026_2028_incl_capacity")</f>
        <v/>
      </c>
      <c r="G1486" s="154" t="inlineStr">
        <is>
          <t>DOCUMENT</t>
        </is>
      </c>
      <c r="H1486" s="154" t="inlineStr">
        <is>
          <t>xlsx</t>
        </is>
      </c>
      <c r="I1486" s="154" t="inlineStr">
        <is>
          <t>DOWNLOAD</t>
        </is>
      </c>
      <c r="J1486" s="154" t="n">
        <v>0.01455211</v>
      </c>
      <c r="K1486" s="154" t="inlineStr">
        <is>
          <t>Read</t>
        </is>
      </c>
      <c r="L1486" s="158" t="n">
        <v>46195.88677451389</v>
      </c>
      <c r="M1486" s="154" t="inlineStr">
        <is>
          <t>6a3989cd828e1224b69c8a89</t>
        </is>
      </c>
    </row>
    <row r="1487">
      <c r="A1487" s="154" t="inlineStr">
        <is>
          <t>Project Notos Clean Team</t>
        </is>
      </c>
      <c r="B1487" s="154" t="inlineStr">
        <is>
          <t>4</t>
        </is>
      </c>
      <c r="C1487" s="155" t="inlineStr">
        <is>
          <t>IT</t>
        </is>
      </c>
      <c r="D1487" s="156" t="n"/>
      <c r="E1487" s="156" t="n"/>
      <c r="F1487" s="157">
        <f>HYPERLINK("https://app.global.datasite.com/platform/container/696652ec0dc07cc02daa26a0/documents/content/index/69de74777a4652d81c3f56b8","IT")</f>
        <v/>
      </c>
      <c r="G1487" s="154" t="inlineStr">
        <is>
          <t>FOLDER</t>
        </is>
      </c>
      <c r="H1487" s="154" t="n"/>
      <c r="I1487" s="154" t="inlineStr">
        <is>
          <t>DOWNLOAD</t>
        </is>
      </c>
      <c r="J1487" s="154" t="n"/>
      <c r="K1487" s="154" t="inlineStr">
        <is>
          <t>Unread</t>
        </is>
      </c>
      <c r="L1487" s="158" t="n">
        <v>46195.66359459491</v>
      </c>
      <c r="M1487" s="154" t="inlineStr">
        <is>
          <t>69de74777a4652d81c3f56b8</t>
        </is>
      </c>
    </row>
    <row r="1488">
      <c r="A1488" s="154" t="inlineStr">
        <is>
          <t>Project Notos Clean Team</t>
        </is>
      </c>
      <c r="B1488" s="154" t="inlineStr">
        <is>
          <t>4.1</t>
        </is>
      </c>
      <c r="C1488" s="155" t="inlineStr">
        <is>
          <t>Overview of the existing system landscape</t>
        </is>
      </c>
      <c r="D1488" s="156" t="n"/>
      <c r="E1488" s="156" t="n"/>
      <c r="F1488" s="157">
        <f>HYPERLINK("https://app.global.datasite.com/platform/container/696652ec0dc07cc02daa26a0/documents/content/index/69cce043d4ee2114935c25b9","Overview of the existing system landscape")</f>
        <v/>
      </c>
      <c r="G1488" s="154" t="inlineStr">
        <is>
          <t>FOLDER</t>
        </is>
      </c>
      <c r="H1488" s="154" t="n"/>
      <c r="I1488" s="154" t="inlineStr">
        <is>
          <t>DOWNLOAD</t>
        </is>
      </c>
      <c r="J1488" s="154" t="n"/>
      <c r="K1488" s="154" t="inlineStr">
        <is>
          <t>Unread</t>
        </is>
      </c>
      <c r="L1488" s="158" t="n">
        <v>46195.66359459491</v>
      </c>
      <c r="M1488" s="154" t="inlineStr">
        <is>
          <t>69cce043d4ee2114935c25b9</t>
        </is>
      </c>
    </row>
    <row r="1489">
      <c r="A1489" s="154" t="inlineStr">
        <is>
          <t>Project Notos Clean Team</t>
        </is>
      </c>
      <c r="B1489" s="154" t="inlineStr">
        <is>
          <t>4.1.1</t>
        </is>
      </c>
      <c r="C1489" s="155" t="inlineStr">
        <is>
          <t>ITT_Licenses_v0.3_redacted</t>
        </is>
      </c>
      <c r="D1489" s="156" t="n"/>
      <c r="E1489" s="156" t="n"/>
      <c r="F1489" s="157">
        <f>HYPERLINK("https://app.global.datasite.com/webviewer/?projectId=696652ec0dc07cc02daa26a0&amp;documentId=69dfcc29f024e2b74ff68954","ITT_Licenses_v0.3_redacted")</f>
        <v/>
      </c>
      <c r="G1489" s="154" t="inlineStr">
        <is>
          <t>DOCUMENT</t>
        </is>
      </c>
      <c r="H1489" s="154" t="inlineStr">
        <is>
          <t>xlsx</t>
        </is>
      </c>
      <c r="I1489" s="154" t="inlineStr">
        <is>
          <t>DOWNLOAD</t>
        </is>
      </c>
      <c r="J1489" s="154" t="n">
        <v>0.02874946</v>
      </c>
      <c r="K1489" s="154" t="inlineStr">
        <is>
          <t>Read</t>
        </is>
      </c>
      <c r="L1489" s="158" t="n">
        <v>46195.66359459491</v>
      </c>
      <c r="M1489" s="154" t="inlineStr">
        <is>
          <t>69dfcc29f024e2b74ff68954</t>
        </is>
      </c>
    </row>
    <row r="1490">
      <c r="A1490" s="154" t="inlineStr">
        <is>
          <t>Project Notos Clean Team</t>
        </is>
      </c>
      <c r="B1490" s="154" t="inlineStr">
        <is>
          <t>4.1.2</t>
        </is>
      </c>
      <c r="C1490" s="155" t="inlineStr">
        <is>
          <t>ITT_Innerio core systems landscape 0.1</t>
        </is>
      </c>
      <c r="D1490" s="156" t="n"/>
      <c r="E1490" s="156" t="n"/>
      <c r="F1490" s="157">
        <f>HYPERLINK("https://app.global.datasite.com/webviewer/?projectId=696652ec0dc07cc02daa26a0&amp;documentId=69cce0e0e7d2926ece891949","ITT_Innerio core systems landscape 0.1")</f>
        <v/>
      </c>
      <c r="G1490" s="154" t="inlineStr">
        <is>
          <t>DOCUMENT</t>
        </is>
      </c>
      <c r="H1490" s="154" t="inlineStr">
        <is>
          <t>pptx</t>
        </is>
      </c>
      <c r="I1490" s="154" t="inlineStr">
        <is>
          <t>DOWNLOAD</t>
        </is>
      </c>
      <c r="J1490" s="154" t="n">
        <v>0.04471111</v>
      </c>
      <c r="K1490" s="154" t="inlineStr">
        <is>
          <t>Read</t>
        </is>
      </c>
      <c r="L1490" s="158" t="n">
        <v>46195.66359459491</v>
      </c>
      <c r="M1490" s="154" t="inlineStr">
        <is>
          <t>69cce0e0e7d2926ece891949</t>
        </is>
      </c>
    </row>
    <row r="1491">
      <c r="A1491" s="154" t="inlineStr">
        <is>
          <t>Project Notos Clean Team</t>
        </is>
      </c>
      <c r="B1491" s="154" t="inlineStr">
        <is>
          <t>4.1.3</t>
        </is>
      </c>
      <c r="C1491" s="155" t="inlineStr">
        <is>
          <t>ITT_PL_Hardware_list_v0.3_redacted</t>
        </is>
      </c>
      <c r="D1491" s="156" t="n"/>
      <c r="E1491" s="156" t="n"/>
      <c r="F1491" s="157">
        <f>HYPERLINK("https://app.global.datasite.com/webviewer/?projectId=696652ec0dc07cc02daa26a0&amp;documentId=69e4f4e2559e22e1ba84ecec","ITT_PL_Hardware_list_v0.3_redacted")</f>
        <v/>
      </c>
      <c r="G1491" s="154" t="inlineStr">
        <is>
          <t>DOCUMENT</t>
        </is>
      </c>
      <c r="H1491" s="154" t="inlineStr">
        <is>
          <t>xlsx</t>
        </is>
      </c>
      <c r="I1491" s="154" t="inlineStr">
        <is>
          <t>DOWNLOAD</t>
        </is>
      </c>
      <c r="J1491" s="154" t="n">
        <v>0.13859367</v>
      </c>
      <c r="K1491" s="154" t="inlineStr">
        <is>
          <t>Read</t>
        </is>
      </c>
      <c r="L1491" s="158" t="n">
        <v>46195.66359459491</v>
      </c>
      <c r="M1491" s="154" t="inlineStr">
        <is>
          <t>69e4f4e2559e22e1ba84ecec</t>
        </is>
      </c>
    </row>
    <row r="1492">
      <c r="A1492" s="154" t="inlineStr">
        <is>
          <t>Project Notos Clean Team</t>
        </is>
      </c>
      <c r="B1492" s="154" t="inlineStr">
        <is>
          <t>5</t>
        </is>
      </c>
      <c r="C1492" s="155" t="inlineStr">
        <is>
          <t>R&amp;D</t>
        </is>
      </c>
      <c r="D1492" s="156" t="n"/>
      <c r="E1492" s="156" t="n"/>
      <c r="F1492" s="157">
        <f>HYPERLINK("https://app.global.datasite.com/platform/container/696652ec0dc07cc02daa26a0/documents/content/index/6a4774e785ad1bba7ddfedf8","R&amp;D")</f>
        <v/>
      </c>
      <c r="G1492" s="154" t="inlineStr">
        <is>
          <t>FOLDER</t>
        </is>
      </c>
      <c r="H1492" s="154" t="n"/>
      <c r="I1492" s="154" t="inlineStr">
        <is>
          <t>DOWNLOAD</t>
        </is>
      </c>
      <c r="J1492" s="154" t="n"/>
      <c r="K1492" s="154" t="inlineStr">
        <is>
          <t>Unread</t>
        </is>
      </c>
      <c r="L1492" s="158" t="n">
        <v>46206.44424092593</v>
      </c>
      <c r="M1492" s="154" t="inlineStr">
        <is>
          <t>6a4774e785ad1bba7ddfedf8</t>
        </is>
      </c>
    </row>
    <row r="1493">
      <c r="A1493" s="154" t="inlineStr">
        <is>
          <t>Project Notos Clean Team</t>
        </is>
      </c>
      <c r="B1493" s="154" t="inlineStr">
        <is>
          <t>5.1</t>
        </is>
      </c>
      <c r="C1493" s="155" t="inlineStr">
        <is>
          <t>R&amp;D_Milestones</t>
        </is>
      </c>
      <c r="D1493" s="156" t="n"/>
      <c r="E1493" s="156" t="n"/>
      <c r="F1493" s="157">
        <f>HYPERLINK("https://app.global.datasite.com/webviewer/?projectId=696652ec0dc07cc02daa26a0&amp;documentId=6a47752a141dcd6e002c20fa","R&amp;D_Milestones")</f>
        <v/>
      </c>
      <c r="G1493" s="154" t="inlineStr">
        <is>
          <t>DOCUMENT</t>
        </is>
      </c>
      <c r="H1493" s="154" t="inlineStr">
        <is>
          <t>xlsx</t>
        </is>
      </c>
      <c r="I1493" s="154" t="inlineStr">
        <is>
          <t>DOWNLOAD</t>
        </is>
      </c>
      <c r="J1493" s="154" t="n">
        <v>0.43727302</v>
      </c>
      <c r="K1493" s="154" t="inlineStr">
        <is>
          <t>Unread</t>
        </is>
      </c>
      <c r="L1493" s="158" t="n">
        <v>46206.44424075232</v>
      </c>
      <c r="M1493" s="154" t="inlineStr">
        <is>
          <t>6a47752a141dcd6e002c20fa</t>
        </is>
      </c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4"/>
  <sheetViews>
    <sheetView workbookViewId="0">
      <selection activeCell="A1" sqref="A1"/>
    </sheetView>
  </sheetViews>
  <sheetFormatPr baseColWidth="8" defaultColWidth="30.85546875" defaultRowHeight="15"/>
  <cols>
    <col width="15" customWidth="1" style="148" min="1" max="2"/>
    <col width="50" customWidth="1" style="148" min="3" max="4"/>
    <col width="13" customWidth="1" style="148" min="5" max="5"/>
  </cols>
  <sheetData>
    <row r="1">
      <c r="A1" s="11" t="inlineStr">
        <is>
          <t>Fileroom</t>
        </is>
      </c>
      <c r="B1" s="11" t="inlineStr">
        <is>
          <t>Index</t>
        </is>
      </c>
      <c r="C1" s="11" t="inlineStr">
        <is>
          <t>Folder</t>
        </is>
      </c>
      <c r="D1" s="11" t="inlineStr">
        <is>
          <t>File</t>
        </is>
      </c>
      <c r="E1" s="11" t="inlineStr">
        <is>
          <t>Type</t>
        </is>
      </c>
    </row>
    <row r="2">
      <c r="A2" s="1" t="inlineStr">
        <is>
          <t>Project Notos</t>
        </is>
      </c>
      <c r="B2" s="1" t="n"/>
      <c r="C2" s="1" t="inlineStr"/>
      <c r="D2" s="1" t="inlineStr"/>
      <c r="E2" s="1" t="inlineStr">
        <is>
          <t>FILEROOM</t>
        </is>
      </c>
    </row>
    <row r="3">
      <c r="A3" s="149" t="inlineStr">
        <is>
          <t>Project Notos</t>
        </is>
      </c>
      <c r="B3" s="149" t="inlineStr">
        <is>
          <t>1</t>
        </is>
      </c>
      <c r="C3" s="149" t="inlineStr">
        <is>
          <t>Legal</t>
        </is>
      </c>
      <c r="D3" s="149" t="inlineStr"/>
      <c r="E3" s="149" t="inlineStr">
        <is>
          <t>FOLDER</t>
        </is>
      </c>
    </row>
    <row r="4">
      <c r="A4" s="149" t="inlineStr">
        <is>
          <t>Project Notos</t>
        </is>
      </c>
      <c r="B4" s="149" t="inlineStr">
        <is>
          <t>1.1</t>
        </is>
      </c>
      <c r="C4" s="149" t="inlineStr">
        <is>
          <t>Innerio Thermal Technology S.a.r.l. (ITT )</t>
        </is>
      </c>
      <c r="D4" s="149" t="inlineStr"/>
      <c r="E4" s="149" t="inlineStr">
        <is>
          <t>FOLDER</t>
        </is>
      </c>
    </row>
    <row r="5">
      <c r="A5" s="149" t="inlineStr">
        <is>
          <t>Project Notos</t>
        </is>
      </c>
      <c r="B5" s="149" t="inlineStr">
        <is>
          <t>1.1.1</t>
        </is>
      </c>
      <c r="C5" s="149" t="inlineStr">
        <is>
          <t>Corporate</t>
        </is>
      </c>
      <c r="D5" s="149" t="inlineStr"/>
      <c r="E5" s="149" t="inlineStr">
        <is>
          <t>FOLDER</t>
        </is>
      </c>
    </row>
    <row r="6">
      <c r="A6" s="149" t="inlineStr">
        <is>
          <t>Project Notos</t>
        </is>
      </c>
      <c r="B6" s="149" t="inlineStr">
        <is>
          <t>1.1.1.1</t>
        </is>
      </c>
      <c r="C6" s="149" t="inlineStr">
        <is>
          <t>Company register</t>
        </is>
      </c>
      <c r="D6" s="149" t="inlineStr"/>
      <c r="E6" s="149" t="inlineStr">
        <is>
          <t>FOLDER</t>
        </is>
      </c>
    </row>
    <row r="7">
      <c r="A7" t="inlineStr">
        <is>
          <t>Project Notos</t>
        </is>
      </c>
      <c r="B7" t="inlineStr">
        <is>
          <t>1.1.1.1.1</t>
        </is>
      </c>
      <c r="C7" t="inlineStr"/>
      <c r="D7" t="inlineStr">
        <is>
          <t>ITT_KRS Register_230407</t>
        </is>
      </c>
      <c r="E7" t="inlineStr">
        <is>
          <t>DOCUMENT</t>
        </is>
      </c>
    </row>
    <row r="8">
      <c r="A8" t="inlineStr">
        <is>
          <t>Project Notos</t>
        </is>
      </c>
      <c r="B8" t="inlineStr">
        <is>
          <t>1.1.1.1.2</t>
        </is>
      </c>
      <c r="C8" t="inlineStr"/>
      <c r="D8" t="inlineStr">
        <is>
          <t>ITT_RCS Filing re SH change_20210805</t>
        </is>
      </c>
      <c r="E8" t="inlineStr">
        <is>
          <t>DOCUMENT</t>
        </is>
      </c>
    </row>
    <row r="9">
      <c r="A9" t="inlineStr">
        <is>
          <t>Project Notos</t>
        </is>
      </c>
      <c r="B9" t="inlineStr">
        <is>
          <t>1.1.1.1.3</t>
        </is>
      </c>
      <c r="C9" t="inlineStr"/>
      <c r="D9" t="inlineStr">
        <is>
          <t>ITT_RCS extract_251216</t>
        </is>
      </c>
      <c r="E9" t="inlineStr">
        <is>
          <t>DOCUMENT</t>
        </is>
      </c>
    </row>
    <row r="10">
      <c r="A10" s="149" t="inlineStr">
        <is>
          <t>Project Notos</t>
        </is>
      </c>
      <c r="B10" s="149" t="inlineStr">
        <is>
          <t>1.1.1.2</t>
        </is>
      </c>
      <c r="C10" s="149" t="inlineStr">
        <is>
          <t>Articles of association</t>
        </is>
      </c>
      <c r="D10" s="149" t="inlineStr"/>
      <c r="E10" s="149" t="inlineStr">
        <is>
          <t>FOLDER</t>
        </is>
      </c>
    </row>
    <row r="11">
      <c r="A11" t="inlineStr">
        <is>
          <t>Project Notos</t>
        </is>
      </c>
      <c r="B11" t="inlineStr">
        <is>
          <t>1.1.1.2.1</t>
        </is>
      </c>
      <c r="C11" t="inlineStr"/>
      <c r="D11" t="inlineStr">
        <is>
          <t>ITT_AoA_230427</t>
        </is>
      </c>
      <c r="E11" t="inlineStr">
        <is>
          <t>DOCUMENT</t>
        </is>
      </c>
    </row>
    <row r="12">
      <c r="A12" t="inlineStr">
        <is>
          <t>Project Notos</t>
        </is>
      </c>
      <c r="B12" t="inlineStr">
        <is>
          <t>1.1.1.2.2</t>
        </is>
      </c>
      <c r="C12" t="inlineStr"/>
      <c r="D12" t="inlineStr">
        <is>
          <t>ITT_Coordinate AoA_20230224</t>
        </is>
      </c>
      <c r="E12" t="inlineStr">
        <is>
          <t>DOCUMENT</t>
        </is>
      </c>
    </row>
    <row r="13">
      <c r="A13" t="inlineStr">
        <is>
          <t>Project Notos</t>
        </is>
      </c>
      <c r="B13" t="inlineStr">
        <is>
          <t>1.1.1.2.3</t>
        </is>
      </c>
      <c r="C13" t="inlineStr"/>
      <c r="D13" t="inlineStr">
        <is>
          <t>ITT_Coordinate AoA_20230414</t>
        </is>
      </c>
      <c r="E13" t="inlineStr">
        <is>
          <t>DOCUMENT</t>
        </is>
      </c>
    </row>
    <row r="14">
      <c r="A14" t="inlineStr">
        <is>
          <t>Project Notos</t>
        </is>
      </c>
      <c r="B14" t="inlineStr">
        <is>
          <t>1.1.1.2.4</t>
        </is>
      </c>
      <c r="C14" t="inlineStr"/>
      <c r="D14" t="inlineStr">
        <is>
          <t>ITT_Coordinate AoA_20240903</t>
        </is>
      </c>
      <c r="E14" t="inlineStr">
        <is>
          <t>DOCUMENT</t>
        </is>
      </c>
    </row>
    <row r="15">
      <c r="A15" t="inlineStr">
        <is>
          <t>Project Notos</t>
        </is>
      </c>
      <c r="B15" t="inlineStr">
        <is>
          <t>1.1.1.2.5</t>
        </is>
      </c>
      <c r="C15" t="inlineStr"/>
      <c r="D15" t="inlineStr">
        <is>
          <t>ITT_Coordinate AoA_20251128</t>
        </is>
      </c>
      <c r="E15" t="inlineStr">
        <is>
          <t>DOCUMENT</t>
        </is>
      </c>
    </row>
    <row r="16">
      <c r="A16" t="inlineStr">
        <is>
          <t>Project Notos</t>
        </is>
      </c>
      <c r="B16" t="inlineStr">
        <is>
          <t>1.1.1.2.6</t>
        </is>
      </c>
      <c r="C16" t="inlineStr"/>
      <c r="D16" t="inlineStr">
        <is>
          <t>ITT_Coordinate AoA_20221215</t>
        </is>
      </c>
      <c r="E16" t="inlineStr">
        <is>
          <t>DOCUMENT</t>
        </is>
      </c>
    </row>
    <row r="17">
      <c r="A17" t="inlineStr">
        <is>
          <t>Project Notos</t>
        </is>
      </c>
      <c r="B17" t="inlineStr">
        <is>
          <t>1.1.1.2.7</t>
        </is>
      </c>
      <c r="C17" t="inlineStr"/>
      <c r="D17" t="inlineStr">
        <is>
          <t>ITT_Incorporation Deed_20200806</t>
        </is>
      </c>
      <c r="E17" t="inlineStr">
        <is>
          <t>DOCUMENT</t>
        </is>
      </c>
    </row>
    <row r="18">
      <c r="A18" s="149" t="inlineStr">
        <is>
          <t>Project Notos</t>
        </is>
      </c>
      <c r="B18" s="149" t="inlineStr">
        <is>
          <t>1.1.1.3</t>
        </is>
      </c>
      <c r="C18" s="149" t="inlineStr">
        <is>
          <t>Chain of title</t>
        </is>
      </c>
      <c r="D18" s="149" t="inlineStr"/>
      <c r="E18" s="149" t="inlineStr">
        <is>
          <t>FOLDER</t>
        </is>
      </c>
    </row>
    <row r="19">
      <c r="A19" t="inlineStr">
        <is>
          <t>Project Notos</t>
        </is>
      </c>
      <c r="B19" t="inlineStr">
        <is>
          <t>1.1.1.3.1</t>
        </is>
      </c>
      <c r="C19" t="inlineStr"/>
      <c r="D19" t="inlineStr">
        <is>
          <t>ITT_Shareholders' register_Updated</t>
        </is>
      </c>
      <c r="E19" t="inlineStr">
        <is>
          <t>DOCUMENT</t>
        </is>
      </c>
    </row>
    <row r="20">
      <c r="A20" t="inlineStr">
        <is>
          <t>Project Notos</t>
        </is>
      </c>
      <c r="B20" t="inlineStr">
        <is>
          <t>1.1.1.3.2</t>
        </is>
      </c>
      <c r="C20" t="inlineStr"/>
      <c r="D20" t="inlineStr">
        <is>
          <t>ITT_shareholders register_20240726</t>
        </is>
      </c>
      <c r="E20" t="inlineStr">
        <is>
          <t>DOCUMENT</t>
        </is>
      </c>
    </row>
    <row r="21">
      <c r="A21" s="149" t="inlineStr">
        <is>
          <t>Project Notos</t>
        </is>
      </c>
      <c r="B21" s="149" t="inlineStr">
        <is>
          <t>1.1.1.4</t>
        </is>
      </c>
      <c r="C21" s="149" t="inlineStr">
        <is>
          <t>Company agreements</t>
        </is>
      </c>
      <c r="D21" s="149" t="inlineStr"/>
      <c r="E21" s="149" t="inlineStr">
        <is>
          <t>FOLDER</t>
        </is>
      </c>
    </row>
    <row r="22">
      <c r="A22" t="inlineStr">
        <is>
          <t>Project Notos</t>
        </is>
      </c>
      <c r="B22" t="inlineStr">
        <is>
          <t>1.1.1.4.1</t>
        </is>
      </c>
      <c r="C22" t="inlineStr"/>
      <c r="D22" t="inlineStr">
        <is>
          <t>ITT_IC Service Agreement IHE_240801</t>
        </is>
      </c>
      <c r="E22" t="inlineStr">
        <is>
          <t>DOCUMENT</t>
        </is>
      </c>
    </row>
    <row r="23">
      <c r="A23" t="inlineStr">
        <is>
          <t>Project Notos</t>
        </is>
      </c>
      <c r="B23" t="inlineStr">
        <is>
          <t>1.1.1.4.2</t>
        </is>
      </c>
      <c r="C23" t="inlineStr"/>
      <c r="D23" t="inlineStr">
        <is>
          <t>ITT_IC Service Agreement IHE_240919</t>
        </is>
      </c>
      <c r="E23" t="inlineStr">
        <is>
          <t>DOCUMENT</t>
        </is>
      </c>
    </row>
    <row r="24">
      <c r="A24" s="149" t="inlineStr">
        <is>
          <t>Project Notos</t>
        </is>
      </c>
      <c r="B24" s="149" t="inlineStr">
        <is>
          <t>1.1.1.5</t>
        </is>
      </c>
      <c r="C24" s="149" t="inlineStr">
        <is>
          <t>Shareholder resolutions</t>
        </is>
      </c>
      <c r="D24" s="149" t="inlineStr"/>
      <c r="E24" s="149" t="inlineStr">
        <is>
          <t>FOLDER</t>
        </is>
      </c>
    </row>
    <row r="25">
      <c r="A25" t="inlineStr">
        <is>
          <t>Project Notos</t>
        </is>
      </c>
      <c r="B25" t="inlineStr">
        <is>
          <t>1.1.1.5.1</t>
        </is>
      </c>
      <c r="C25" t="inlineStr"/>
      <c r="D25" t="inlineStr">
        <is>
          <t>ITT_SR_EUR 36M capital increase_221215</t>
        </is>
      </c>
      <c r="E25" t="inlineStr">
        <is>
          <t>DOCUMENT</t>
        </is>
      </c>
    </row>
    <row r="26">
      <c r="A26" t="inlineStr">
        <is>
          <t>Project Notos</t>
        </is>
      </c>
      <c r="B26" t="inlineStr">
        <is>
          <t>1.1.1.5.2</t>
        </is>
      </c>
      <c r="C26" t="inlineStr"/>
      <c r="D26" t="inlineStr">
        <is>
          <t>ITT_SR_POA share capital increase_221213</t>
        </is>
      </c>
      <c r="E26" t="inlineStr">
        <is>
          <t>DOCUMENT</t>
        </is>
      </c>
    </row>
    <row r="27">
      <c r="A27" t="inlineStr">
        <is>
          <t>Project Notos</t>
        </is>
      </c>
      <c r="B27" t="inlineStr">
        <is>
          <t>1.1.1.5.3</t>
        </is>
      </c>
      <c r="C27" t="inlineStr"/>
      <c r="D27" t="inlineStr">
        <is>
          <t>ITT_SR_POA share capital increase_230222</t>
        </is>
      </c>
      <c r="E27" t="inlineStr">
        <is>
          <t>DOCUMENT</t>
        </is>
      </c>
    </row>
    <row r="28">
      <c r="A28" t="inlineStr">
        <is>
          <t>Project Notos</t>
        </is>
      </c>
      <c r="B28" t="inlineStr">
        <is>
          <t>1.1.1.5.4</t>
        </is>
      </c>
      <c r="C28" t="inlineStr"/>
      <c r="D28" t="inlineStr">
        <is>
          <t>ITT_SR_EUR 12M capital increase_230224</t>
        </is>
      </c>
      <c r="E28" t="inlineStr">
        <is>
          <t>DOCUMENT</t>
        </is>
      </c>
    </row>
    <row r="29">
      <c r="A29" t="inlineStr">
        <is>
          <t>Project Notos</t>
        </is>
      </c>
      <c r="B29" t="inlineStr">
        <is>
          <t>1.1.1.5.5</t>
        </is>
      </c>
      <c r="C29" t="inlineStr"/>
      <c r="D29" t="inlineStr">
        <is>
          <t>ITT_SR_POA capital injection_230410</t>
        </is>
      </c>
      <c r="E29" t="inlineStr">
        <is>
          <t>DOCUMENT</t>
        </is>
      </c>
    </row>
    <row r="30">
      <c r="A30" t="inlineStr">
        <is>
          <t>Project Notos</t>
        </is>
      </c>
      <c r="B30" t="inlineStr">
        <is>
          <t>1.1.1.5.6</t>
        </is>
      </c>
      <c r="C30" t="inlineStr"/>
      <c r="D30" t="inlineStr">
        <is>
          <t>ITT_SR_EUR 72M capital increase_230414</t>
        </is>
      </c>
      <c r="E30" t="inlineStr">
        <is>
          <t>DOCUMENT</t>
        </is>
      </c>
    </row>
    <row r="31">
      <c r="A31" t="inlineStr">
        <is>
          <t>Project Notos</t>
        </is>
      </c>
      <c r="B31" t="inlineStr">
        <is>
          <t>1.1.1.5.7</t>
        </is>
      </c>
      <c r="C31" t="inlineStr"/>
      <c r="D31" t="inlineStr">
        <is>
          <t>ITT_SR_conclusion_Polish branch_221017</t>
        </is>
      </c>
      <c r="E31" t="inlineStr">
        <is>
          <t>DOCUMENT</t>
        </is>
      </c>
    </row>
    <row r="32">
      <c r="A32" t="inlineStr">
        <is>
          <t>Project Notos</t>
        </is>
      </c>
      <c r="B32" t="inlineStr">
        <is>
          <t>1.1.1.5.8</t>
        </is>
      </c>
      <c r="C32" t="inlineStr"/>
      <c r="D32" t="inlineStr">
        <is>
          <t>ITT_SR_appointment auditor_Polish branch re fy 22 and 23_221223</t>
        </is>
      </c>
      <c r="E32" t="inlineStr">
        <is>
          <t>DOCUMENT</t>
        </is>
      </c>
    </row>
    <row r="33">
      <c r="A33" t="inlineStr">
        <is>
          <t>Project Notos</t>
        </is>
      </c>
      <c r="B33" t="inlineStr">
        <is>
          <t>1.1.1.5.9</t>
        </is>
      </c>
      <c r="C33" t="inlineStr"/>
      <c r="D33" t="inlineStr">
        <is>
          <t>ITT_SR_change of class B manager_230112</t>
        </is>
      </c>
      <c r="E33" t="inlineStr">
        <is>
          <t>DOCUMENT</t>
        </is>
      </c>
    </row>
    <row r="34">
      <c r="A34" t="inlineStr">
        <is>
          <t>Project Notos</t>
        </is>
      </c>
      <c r="B34" t="inlineStr">
        <is>
          <t>1.1.1.5.10</t>
        </is>
      </c>
      <c r="C34" t="inlineStr"/>
      <c r="D34" t="inlineStr">
        <is>
          <t>ITT_amendment AoA _240730</t>
        </is>
      </c>
      <c r="E34" t="inlineStr">
        <is>
          <t>DOCUMENT</t>
        </is>
      </c>
    </row>
    <row r="35">
      <c r="A35" t="inlineStr">
        <is>
          <t>Project Notos</t>
        </is>
      </c>
      <c r="B35" t="inlineStr">
        <is>
          <t>1.1.1.5.11</t>
        </is>
      </c>
      <c r="C35" t="inlineStr"/>
      <c r="D35" t="inlineStr">
        <is>
          <t>ITT_SR_appointment new MDs_240726</t>
        </is>
      </c>
      <c r="E35" t="inlineStr">
        <is>
          <t>DOCUMENT</t>
        </is>
      </c>
    </row>
    <row r="36">
      <c r="A36" t="inlineStr">
        <is>
          <t>Project Notos</t>
        </is>
      </c>
      <c r="B36" t="inlineStr">
        <is>
          <t>1.1.1.5.12</t>
        </is>
      </c>
      <c r="C36" t="inlineStr"/>
      <c r="D36" t="inlineStr">
        <is>
          <t>ITT_EGM re Capital Increase and AoA amendment_20221215</t>
        </is>
      </c>
      <c r="E36" t="inlineStr">
        <is>
          <t>DOCUMENT</t>
        </is>
      </c>
    </row>
    <row r="37">
      <c r="A37" t="inlineStr">
        <is>
          <t>Project Notos</t>
        </is>
      </c>
      <c r="B37" t="inlineStr">
        <is>
          <t>1.1.1.5.13</t>
        </is>
      </c>
      <c r="C37" t="inlineStr"/>
      <c r="D37" t="inlineStr">
        <is>
          <t>ITT_EGM re Capital Increase and AoA amendment_20230224</t>
        </is>
      </c>
      <c r="E37" t="inlineStr">
        <is>
          <t>DOCUMENT</t>
        </is>
      </c>
    </row>
    <row r="38">
      <c r="A38" t="inlineStr">
        <is>
          <t>Project Notos</t>
        </is>
      </c>
      <c r="B38" t="inlineStr">
        <is>
          <t>1.1.1.5.14</t>
        </is>
      </c>
      <c r="C38" t="inlineStr"/>
      <c r="D38" t="inlineStr">
        <is>
          <t>ITT_EGM re Capital Increase and AoA amendment_20230414</t>
        </is>
      </c>
      <c r="E38" t="inlineStr">
        <is>
          <t>DOCUMENT</t>
        </is>
      </c>
    </row>
    <row r="39">
      <c r="A39" t="inlineStr">
        <is>
          <t>Project Notos</t>
        </is>
      </c>
      <c r="B39" t="inlineStr">
        <is>
          <t>1.1.1.5.15</t>
        </is>
      </c>
      <c r="C39" t="inlineStr"/>
      <c r="D39" t="inlineStr">
        <is>
          <t>ITT_EGM re Rebranding_20251128</t>
        </is>
      </c>
      <c r="E39" t="inlineStr">
        <is>
          <t>DOCUMENT</t>
        </is>
      </c>
    </row>
    <row r="40">
      <c r="A40" t="inlineStr">
        <is>
          <t>Project Notos</t>
        </is>
      </c>
      <c r="B40" t="inlineStr">
        <is>
          <t>1.1.1.5.16</t>
        </is>
      </c>
      <c r="C40" t="inlineStr"/>
      <c r="D40" t="inlineStr">
        <is>
          <t>ITT_EGM re AoA amendment_20240730</t>
        </is>
      </c>
      <c r="E40" t="inlineStr">
        <is>
          <t>DOCUMENT</t>
        </is>
      </c>
    </row>
    <row r="41">
      <c r="A41" t="inlineStr">
        <is>
          <t>Project Notos</t>
        </is>
      </c>
      <c r="B41" t="inlineStr">
        <is>
          <t>1.1.1.5.17</t>
        </is>
      </c>
      <c r="C41" t="inlineStr"/>
      <c r="D41" t="inlineStr">
        <is>
          <t>ITT_SH Resolutions_Manager Removal_20250108</t>
        </is>
      </c>
      <c r="E41" t="inlineStr">
        <is>
          <t>DOCUMENT</t>
        </is>
      </c>
    </row>
    <row r="42">
      <c r="A42" t="inlineStr">
        <is>
          <t>Project Notos</t>
        </is>
      </c>
      <c r="B42" t="inlineStr">
        <is>
          <t>1.1.1.5.18</t>
        </is>
      </c>
      <c r="C42" t="inlineStr"/>
      <c r="D42" t="inlineStr">
        <is>
          <t>ITT_SH Resolutions_Managers Appointment-Resignation - Proxy bank accounts_20240726</t>
        </is>
      </c>
      <c r="E42" t="inlineStr">
        <is>
          <t>DOCUMENT</t>
        </is>
      </c>
    </row>
    <row r="43">
      <c r="A43" t="inlineStr">
        <is>
          <t>Project Notos</t>
        </is>
      </c>
      <c r="B43" t="inlineStr">
        <is>
          <t>1.1.1.5.19</t>
        </is>
      </c>
      <c r="C43" t="inlineStr"/>
      <c r="D43" t="inlineStr">
        <is>
          <t>ITT_Board Resolutions_Shares Sale_20240726</t>
        </is>
      </c>
      <c r="E43" t="inlineStr">
        <is>
          <t>DOCUMENT</t>
        </is>
      </c>
    </row>
    <row r="44">
      <c r="A44" t="inlineStr">
        <is>
          <t>Project Notos</t>
        </is>
      </c>
      <c r="B44" t="inlineStr">
        <is>
          <t>1.1.1.5.20</t>
        </is>
      </c>
      <c r="C44" t="inlineStr"/>
      <c r="D44" t="inlineStr">
        <is>
          <t>ITT_RCS extract_20260311</t>
        </is>
      </c>
      <c r="E44" t="inlineStr">
        <is>
          <t>DOCUMENT</t>
        </is>
      </c>
    </row>
    <row r="45">
      <c r="A45" t="inlineStr">
        <is>
          <t>Project Notos</t>
        </is>
      </c>
      <c r="B45" t="inlineStr">
        <is>
          <t>1.1.1.5.21</t>
        </is>
      </c>
      <c r="C45" t="inlineStr"/>
      <c r="D45" t="inlineStr">
        <is>
          <t>ITT_BoD resolution_share sale_240726</t>
        </is>
      </c>
      <c r="E45" t="inlineStr">
        <is>
          <t>DOCUMENT</t>
        </is>
      </c>
    </row>
    <row r="46">
      <c r="A46" t="inlineStr">
        <is>
          <t>Project Notos</t>
        </is>
      </c>
      <c r="B46" t="inlineStr">
        <is>
          <t>1.1.1.5.22</t>
        </is>
      </c>
      <c r="C46" t="inlineStr"/>
      <c r="D46" t="inlineStr">
        <is>
          <t>ITT_BoD resolution management change_250415</t>
        </is>
      </c>
      <c r="E46" t="inlineStr">
        <is>
          <t>DOCUMENT</t>
        </is>
      </c>
    </row>
    <row r="47">
      <c r="A47" t="inlineStr">
        <is>
          <t>Project Notos</t>
        </is>
      </c>
      <c r="B47" t="inlineStr">
        <is>
          <t>1.1.1.5.23</t>
        </is>
      </c>
      <c r="C47" t="inlineStr"/>
      <c r="D47" t="inlineStr">
        <is>
          <t>ITT_EGM_AoA Amendment Daily Manager_20260414</t>
        </is>
      </c>
      <c r="E47" t="inlineStr">
        <is>
          <t>DOCUMENT</t>
        </is>
      </c>
    </row>
    <row r="48">
      <c r="A48" s="149" t="inlineStr">
        <is>
          <t>Project Notos</t>
        </is>
      </c>
      <c r="B48" s="149" t="inlineStr">
        <is>
          <t>1.1.1.6</t>
        </is>
      </c>
      <c r="C48" s="149" t="inlineStr">
        <is>
          <t>Board resolutions</t>
        </is>
      </c>
      <c r="D48" s="149" t="inlineStr"/>
      <c r="E48" s="149" t="inlineStr">
        <is>
          <t>FOLDER</t>
        </is>
      </c>
    </row>
    <row r="49">
      <c r="A49" t="inlineStr">
        <is>
          <t>Project Notos</t>
        </is>
      </c>
      <c r="B49" t="inlineStr">
        <is>
          <t>1.1.1.6.1</t>
        </is>
      </c>
      <c r="C49" t="inlineStr"/>
      <c r="D49" t="inlineStr">
        <is>
          <t>ITT_BR_supplier payments_2020</t>
        </is>
      </c>
      <c r="E49" t="inlineStr">
        <is>
          <t>DOCUMENT</t>
        </is>
      </c>
    </row>
    <row r="50">
      <c r="A50" t="inlineStr">
        <is>
          <t>Project Notos</t>
        </is>
      </c>
      <c r="B50" t="inlineStr">
        <is>
          <t>1.1.1.6.2</t>
        </is>
      </c>
      <c r="C50" t="inlineStr"/>
      <c r="D50" t="inlineStr">
        <is>
          <t>ITT_BR_change of directors_2021</t>
        </is>
      </c>
      <c r="E50" t="inlineStr">
        <is>
          <t>DOCUMENT</t>
        </is>
      </c>
    </row>
    <row r="51">
      <c r="A51" t="inlineStr">
        <is>
          <t>Project Notos</t>
        </is>
      </c>
      <c r="B51" t="inlineStr">
        <is>
          <t>1.1.1.6.3</t>
        </is>
      </c>
      <c r="C51" t="inlineStr"/>
      <c r="D51" t="inlineStr">
        <is>
          <t>ITT_BR_consent Innerio transaction_240726</t>
        </is>
      </c>
      <c r="E51" t="inlineStr">
        <is>
          <t>DOCUMENT</t>
        </is>
      </c>
    </row>
    <row r="52">
      <c r="A52" t="inlineStr">
        <is>
          <t>Project Notos</t>
        </is>
      </c>
      <c r="B52" t="inlineStr">
        <is>
          <t>1.1.1.6.4</t>
        </is>
      </c>
      <c r="C52" t="inlineStr"/>
      <c r="D52" t="inlineStr">
        <is>
          <t>ITT_BoD resolution_SH Register_20260317 - change of shareholders' register</t>
        </is>
      </c>
      <c r="E52" t="inlineStr">
        <is>
          <t>DOCUMENT</t>
        </is>
      </c>
    </row>
    <row r="53">
      <c r="A53" s="149" t="inlineStr">
        <is>
          <t>Project Notos</t>
        </is>
      </c>
      <c r="B53" s="149" t="inlineStr">
        <is>
          <t>1.1.1.7</t>
        </is>
      </c>
      <c r="C53" s="149" t="inlineStr">
        <is>
          <t>Business license</t>
        </is>
      </c>
      <c r="D53" s="149" t="inlineStr"/>
      <c r="E53" s="149" t="inlineStr">
        <is>
          <t>FOLDER</t>
        </is>
      </c>
    </row>
    <row r="54">
      <c r="A54" t="inlineStr">
        <is>
          <t>Project Notos</t>
        </is>
      </c>
      <c r="B54" t="inlineStr">
        <is>
          <t>1.1.1.7.1</t>
        </is>
      </c>
      <c r="C54" t="inlineStr"/>
      <c r="D54" t="inlineStr">
        <is>
          <t>ITT_business license_230414</t>
        </is>
      </c>
      <c r="E54" t="inlineStr">
        <is>
          <t>DOCUMENT</t>
        </is>
      </c>
    </row>
    <row r="55">
      <c r="A55" s="149" t="inlineStr">
        <is>
          <t>Project Notos</t>
        </is>
      </c>
      <c r="B55" s="149" t="inlineStr">
        <is>
          <t>1.1.1.8</t>
        </is>
      </c>
      <c r="C55" s="149" t="inlineStr">
        <is>
          <t>HT Holdings Transaction</t>
        </is>
      </c>
      <c r="D55" s="149" t="inlineStr"/>
      <c r="E55" s="149" t="inlineStr">
        <is>
          <t>FOLDER</t>
        </is>
      </c>
    </row>
    <row r="56">
      <c r="A56" t="inlineStr">
        <is>
          <t>Project Notos</t>
        </is>
      </c>
      <c r="B56" t="inlineStr">
        <is>
          <t>1.1.1.8.1</t>
        </is>
      </c>
      <c r="C56" t="inlineStr"/>
      <c r="D56" t="inlineStr">
        <is>
          <t>ITT_asset transfer agreement (LUX assets) ht holding_200831</t>
        </is>
      </c>
      <c r="E56" t="inlineStr">
        <is>
          <t>DOCUMENT</t>
        </is>
      </c>
    </row>
    <row r="57">
      <c r="A57" t="inlineStr">
        <is>
          <t>Project Notos</t>
        </is>
      </c>
      <c r="B57" t="inlineStr">
        <is>
          <t>1.1.1.8.2</t>
        </is>
      </c>
      <c r="C57" t="inlineStr"/>
      <c r="D57" t="inlineStr">
        <is>
          <t>ITT_schedule A (LUX)_200831</t>
        </is>
      </c>
      <c r="E57" t="inlineStr">
        <is>
          <t>DOCUMENT</t>
        </is>
      </c>
    </row>
    <row r="58">
      <c r="A58" t="inlineStr">
        <is>
          <t>Project Notos</t>
        </is>
      </c>
      <c r="B58" t="inlineStr">
        <is>
          <t>1.1.1.8.3</t>
        </is>
      </c>
      <c r="C58" t="inlineStr"/>
      <c r="D58" t="inlineStr">
        <is>
          <t>ITT_supplemental agreement (LUX assets)_230413</t>
        </is>
      </c>
      <c r="E58" t="inlineStr">
        <is>
          <t>DOCUMENT</t>
        </is>
      </c>
    </row>
    <row r="59">
      <c r="A59" t="inlineStr">
        <is>
          <t>Project Notos</t>
        </is>
      </c>
      <c r="B59" t="inlineStr">
        <is>
          <t>1.1.1.8.4</t>
        </is>
      </c>
      <c r="C59" t="inlineStr"/>
      <c r="D59" t="inlineStr">
        <is>
          <t>ITT_schedule A (LUX)_230413</t>
        </is>
      </c>
      <c r="E59" t="inlineStr">
        <is>
          <t>DOCUMENT</t>
        </is>
      </c>
    </row>
    <row r="60">
      <c r="A60" t="inlineStr">
        <is>
          <t>Project Notos</t>
        </is>
      </c>
      <c r="B60" t="inlineStr">
        <is>
          <t>1.1.1.8.5</t>
        </is>
      </c>
      <c r="C60" t="inlineStr"/>
      <c r="D60" t="inlineStr">
        <is>
          <t>ITT_asset transfer agreement (R&amp;D, production, Poland) ht holding_200831</t>
        </is>
      </c>
      <c r="E60" t="inlineStr">
        <is>
          <t>DOCUMENT</t>
        </is>
      </c>
    </row>
    <row r="61">
      <c r="A61" t="inlineStr">
        <is>
          <t>Project Notos</t>
        </is>
      </c>
      <c r="B61" t="inlineStr">
        <is>
          <t>1.1.1.8.6</t>
        </is>
      </c>
      <c r="C61" t="inlineStr"/>
      <c r="D61" t="inlineStr">
        <is>
          <t>ITT_schedule A (Poland)_201001</t>
        </is>
      </c>
      <c r="E61" t="inlineStr">
        <is>
          <t>DOCUMENT</t>
        </is>
      </c>
    </row>
    <row r="62">
      <c r="A62" t="inlineStr">
        <is>
          <t>Project Notos</t>
        </is>
      </c>
      <c r="B62" t="inlineStr">
        <is>
          <t>1.1.1.8.7</t>
        </is>
      </c>
      <c r="C62" t="inlineStr"/>
      <c r="D62" t="inlineStr">
        <is>
          <t>ITT_supplemental agreement (add. R&amp;D assets)_201123</t>
        </is>
      </c>
      <c r="E62" t="inlineStr">
        <is>
          <t>DOCUMENT</t>
        </is>
      </c>
    </row>
    <row r="63">
      <c r="A63" t="inlineStr">
        <is>
          <t>Project Notos</t>
        </is>
      </c>
      <c r="B63" t="inlineStr">
        <is>
          <t>1.1.1.8.8</t>
        </is>
      </c>
      <c r="C63" t="inlineStr"/>
      <c r="D63" t="inlineStr">
        <is>
          <t>ITT_supplemental agreement (add. assets)_230413</t>
        </is>
      </c>
      <c r="E63" t="inlineStr">
        <is>
          <t>DOCUMENT</t>
        </is>
      </c>
    </row>
    <row r="64">
      <c r="A64" t="inlineStr">
        <is>
          <t>Project Notos</t>
        </is>
      </c>
      <c r="B64" t="inlineStr">
        <is>
          <t>1.1.1.8.9</t>
        </is>
      </c>
      <c r="C64" t="inlineStr"/>
      <c r="D64" t="inlineStr">
        <is>
          <t>ITT_updated schedule A (Poland)_230413</t>
        </is>
      </c>
      <c r="E64" t="inlineStr">
        <is>
          <t>DOCUMENT</t>
        </is>
      </c>
    </row>
    <row r="65">
      <c r="A65" t="inlineStr">
        <is>
          <t>Project Notos</t>
        </is>
      </c>
      <c r="B65" t="inlineStr">
        <is>
          <t>1.1.1.9</t>
        </is>
      </c>
      <c r="C65" t="inlineStr"/>
      <c r="D65" t="inlineStr">
        <is>
          <t>ITT_description of any significant events of the Company since its setup</t>
        </is>
      </c>
      <c r="E65" t="inlineStr">
        <is>
          <t>DOCUMENT</t>
        </is>
      </c>
    </row>
    <row r="66">
      <c r="A66" t="inlineStr">
        <is>
          <t>Project Notos</t>
        </is>
      </c>
      <c r="B66" t="inlineStr">
        <is>
          <t>1.1.1.10</t>
        </is>
      </c>
      <c r="C66" t="inlineStr"/>
      <c r="D66" t="inlineStr">
        <is>
          <t>ITT_overview office locations</t>
        </is>
      </c>
      <c r="E66" t="inlineStr">
        <is>
          <t>DOCUMENT</t>
        </is>
      </c>
    </row>
    <row r="67">
      <c r="A67" s="149" t="inlineStr">
        <is>
          <t>Project Notos</t>
        </is>
      </c>
      <c r="B67" s="149" t="inlineStr">
        <is>
          <t>1.1.2</t>
        </is>
      </c>
      <c r="C67" s="149" t="inlineStr">
        <is>
          <t>Financing</t>
        </is>
      </c>
      <c r="D67" s="149" t="inlineStr"/>
      <c r="E67" s="149" t="inlineStr">
        <is>
          <t>FOLDER</t>
        </is>
      </c>
    </row>
    <row r="68">
      <c r="A68" t="inlineStr">
        <is>
          <t>Project Notos</t>
        </is>
      </c>
      <c r="B68" t="inlineStr">
        <is>
          <t>1.1.2.1</t>
        </is>
      </c>
      <c r="C68" t="inlineStr"/>
      <c r="D68" t="inlineStr">
        <is>
          <t>ITT_shareholder loan agreement_240726</t>
        </is>
      </c>
      <c r="E68" t="inlineStr">
        <is>
          <t>DOCUMENT</t>
        </is>
      </c>
    </row>
    <row r="69">
      <c r="A69" t="inlineStr">
        <is>
          <t>Project Notos</t>
        </is>
      </c>
      <c r="B69" t="inlineStr">
        <is>
          <t>1.1.2.2</t>
        </is>
      </c>
      <c r="C69" t="inlineStr"/>
      <c r="D69" t="inlineStr">
        <is>
          <t>ITT_Debt Assumption Agreement_250225</t>
        </is>
      </c>
      <c r="E69" t="inlineStr">
        <is>
          <t>DOCUMENT</t>
        </is>
      </c>
    </row>
    <row r="70">
      <c r="A70" t="inlineStr">
        <is>
          <t>Project Notos</t>
        </is>
      </c>
      <c r="B70" t="inlineStr">
        <is>
          <t>1.1.2.3</t>
        </is>
      </c>
      <c r="C70" t="inlineStr"/>
      <c r="D70" t="inlineStr">
        <is>
          <t>ITT_Shareholders resolution_dept assumption_signed_250228</t>
        </is>
      </c>
      <c r="E70" t="inlineStr">
        <is>
          <t>DOCUMENT</t>
        </is>
      </c>
    </row>
    <row r="71">
      <c r="A71" t="inlineStr">
        <is>
          <t>Project Notos</t>
        </is>
      </c>
      <c r="B71" t="inlineStr">
        <is>
          <t>1.1.2.4</t>
        </is>
      </c>
      <c r="C71" t="inlineStr"/>
      <c r="D71" t="inlineStr">
        <is>
          <t>ITT_Declaration of non_conflict_fully signed_250228</t>
        </is>
      </c>
      <c r="E71" t="inlineStr">
        <is>
          <t>DOCUMENT</t>
        </is>
      </c>
    </row>
    <row r="72">
      <c r="A72" t="inlineStr">
        <is>
          <t>Project Notos</t>
        </is>
      </c>
      <c r="B72" t="inlineStr">
        <is>
          <t>1.1.2.5</t>
        </is>
      </c>
      <c r="C72" t="inlineStr"/>
      <c r="D72" t="inlineStr">
        <is>
          <t>ITT_info on estra loans</t>
        </is>
      </c>
      <c r="E72" t="inlineStr">
        <is>
          <t>DOCUMENT</t>
        </is>
      </c>
    </row>
    <row r="73">
      <c r="A73" s="149" t="inlineStr">
        <is>
          <t>Project Notos</t>
        </is>
      </c>
      <c r="B73" s="149" t="inlineStr">
        <is>
          <t>1.1.3</t>
        </is>
      </c>
      <c r="C73" s="149" t="inlineStr">
        <is>
          <t>Employment</t>
        </is>
      </c>
      <c r="D73" s="149" t="inlineStr"/>
      <c r="E73" s="149" t="inlineStr">
        <is>
          <t>FOLDER</t>
        </is>
      </c>
    </row>
    <row r="74">
      <c r="A74" s="149" t="inlineStr">
        <is>
          <t>Project Notos</t>
        </is>
      </c>
      <c r="B74" s="149" t="inlineStr">
        <is>
          <t>1.1.3.1</t>
        </is>
      </c>
      <c r="C74" s="149" t="inlineStr">
        <is>
          <t>Sample employment contracts</t>
        </is>
      </c>
      <c r="D74" s="149" t="inlineStr"/>
      <c r="E74" s="149" t="inlineStr">
        <is>
          <t>FOLDER</t>
        </is>
      </c>
    </row>
    <row r="75">
      <c r="A75" t="inlineStr">
        <is>
          <t>Project Notos</t>
        </is>
      </c>
      <c r="B75" t="inlineStr">
        <is>
          <t>1.1.3.1.1</t>
        </is>
      </c>
      <c r="C75" t="inlineStr"/>
      <c r="D75" t="inlineStr">
        <is>
          <t>ITT_Employment contract Estra - standard clauses_protected</t>
        </is>
      </c>
      <c r="E75" t="inlineStr">
        <is>
          <t>DOCUMENT</t>
        </is>
      </c>
    </row>
    <row r="76">
      <c r="A76" t="inlineStr">
        <is>
          <t>Project Notos</t>
        </is>
      </c>
      <c r="B76" t="inlineStr">
        <is>
          <t>1.1.3.1.2</t>
        </is>
      </c>
      <c r="C76" t="inlineStr"/>
      <c r="D76" t="inlineStr">
        <is>
          <t>ITT_Employment contract Estra - standard specific clauses_protected</t>
        </is>
      </c>
      <c r="E76" t="inlineStr">
        <is>
          <t>DOCUMENT</t>
        </is>
      </c>
    </row>
    <row r="77">
      <c r="A77" t="inlineStr">
        <is>
          <t>Project Notos</t>
        </is>
      </c>
      <c r="B77" t="inlineStr">
        <is>
          <t>1.1.3.1.3</t>
        </is>
      </c>
      <c r="C77" t="inlineStr"/>
      <c r="D77" t="inlineStr">
        <is>
          <t>ITT_Employment contract HT - German law_protected</t>
        </is>
      </c>
      <c r="E77" t="inlineStr">
        <is>
          <t>DOCUMENT</t>
        </is>
      </c>
    </row>
    <row r="78">
      <c r="A78" t="inlineStr">
        <is>
          <t>Project Notos</t>
        </is>
      </c>
      <c r="B78" t="inlineStr">
        <is>
          <t>1.1.3.1.4</t>
        </is>
      </c>
      <c r="C78" t="inlineStr"/>
      <c r="D78" t="inlineStr">
        <is>
          <t>ITT_Employment contract HT_protected</t>
        </is>
      </c>
      <c r="E78" t="inlineStr">
        <is>
          <t>DOCUMENT</t>
        </is>
      </c>
    </row>
    <row r="79">
      <c r="A79" t="inlineStr">
        <is>
          <t>Project Notos</t>
        </is>
      </c>
      <c r="B79" t="inlineStr">
        <is>
          <t>1.1.3.1.5</t>
        </is>
      </c>
      <c r="C79" t="inlineStr"/>
      <c r="D79" t="inlineStr">
        <is>
          <t>ITT_employment contracts password</t>
        </is>
      </c>
      <c r="E79" t="inlineStr">
        <is>
          <t>DOCUMENT</t>
        </is>
      </c>
    </row>
    <row r="80">
      <c r="A80" t="inlineStr">
        <is>
          <t>Project Notos</t>
        </is>
      </c>
      <c r="B80" t="inlineStr">
        <is>
          <t>1.1.3.1.6</t>
        </is>
      </c>
      <c r="C80" t="inlineStr"/>
      <c r="D80" t="inlineStr">
        <is>
          <t>ITT_employment contracts examples_</t>
        </is>
      </c>
      <c r="E80" t="inlineStr">
        <is>
          <t>DOCUMENT</t>
        </is>
      </c>
    </row>
    <row r="81">
      <c r="A81" t="inlineStr">
        <is>
          <t>Project Notos</t>
        </is>
      </c>
      <c r="B81" t="inlineStr">
        <is>
          <t>1.1.3.1.7</t>
        </is>
      </c>
      <c r="C81" t="inlineStr"/>
      <c r="D81" t="inlineStr">
        <is>
          <t>ITT_Sample employment contract for a person from Ukraine</t>
        </is>
      </c>
      <c r="E81" t="inlineStr">
        <is>
          <t>DOCUMENT</t>
        </is>
      </c>
    </row>
    <row r="82">
      <c r="A82" t="inlineStr">
        <is>
          <t>Project Notos</t>
        </is>
      </c>
      <c r="B82" t="inlineStr">
        <is>
          <t>1.1.3.1.8</t>
        </is>
      </c>
      <c r="C82" t="inlineStr"/>
      <c r="D82" t="inlineStr">
        <is>
          <t>ITT_Sample employment contract</t>
        </is>
      </c>
      <c r="E82" t="inlineStr">
        <is>
          <t>DOCUMENT</t>
        </is>
      </c>
    </row>
    <row r="83">
      <c r="A83" t="inlineStr">
        <is>
          <t>Project Notos</t>
        </is>
      </c>
      <c r="B83" t="inlineStr">
        <is>
          <t>1.1.3.1.9</t>
        </is>
      </c>
      <c r="C83" t="inlineStr"/>
      <c r="D83" t="inlineStr">
        <is>
          <t>ITT_Template of contract</t>
        </is>
      </c>
      <c r="E83" t="inlineStr">
        <is>
          <t>DOCUMENT</t>
        </is>
      </c>
    </row>
    <row r="84">
      <c r="A84" s="149" t="inlineStr">
        <is>
          <t>Project Notos</t>
        </is>
      </c>
      <c r="B84" s="149" t="inlineStr">
        <is>
          <t>1.1.3.2</t>
        </is>
      </c>
      <c r="C84" s="149" t="inlineStr">
        <is>
          <t xml:space="preserve">Pension Agreement </t>
        </is>
      </c>
      <c r="D84" s="149" t="inlineStr"/>
      <c r="E84" s="149" t="inlineStr">
        <is>
          <t>FOLDER</t>
        </is>
      </c>
    </row>
    <row r="85">
      <c r="A85" t="inlineStr">
        <is>
          <t>Project Notos</t>
        </is>
      </c>
      <c r="B85" t="inlineStr">
        <is>
          <t>1.1.3.2.1</t>
        </is>
      </c>
      <c r="C85" t="inlineStr"/>
      <c r="D85" t="inlineStr">
        <is>
          <t>ITT pension agreement_protected</t>
        </is>
      </c>
      <c r="E85" t="inlineStr">
        <is>
          <t>DOCUMENT</t>
        </is>
      </c>
    </row>
    <row r="86">
      <c r="A86" t="inlineStr">
        <is>
          <t>Project Notos</t>
        </is>
      </c>
      <c r="B86" t="inlineStr">
        <is>
          <t>1.1.3.2.2</t>
        </is>
      </c>
      <c r="C86" t="inlineStr"/>
      <c r="D86" t="inlineStr">
        <is>
          <t>ITT_pension agreement password</t>
        </is>
      </c>
      <c r="E86" t="inlineStr">
        <is>
          <t>DOCUMENT</t>
        </is>
      </c>
    </row>
    <row r="87">
      <c r="A87" s="149" t="inlineStr">
        <is>
          <t>Project Notos</t>
        </is>
      </c>
      <c r="B87" s="149" t="inlineStr">
        <is>
          <t>1.1.3.3</t>
        </is>
      </c>
      <c r="C87" s="149" t="inlineStr">
        <is>
          <t>Variable Compensation Model</t>
        </is>
      </c>
      <c r="D87" s="149" t="inlineStr"/>
      <c r="E87" s="149" t="inlineStr">
        <is>
          <t>FOLDER</t>
        </is>
      </c>
    </row>
    <row r="88">
      <c r="A88" t="inlineStr">
        <is>
          <t>Project Notos</t>
        </is>
      </c>
      <c r="B88" t="inlineStr">
        <is>
          <t>1.1.3.3.1</t>
        </is>
      </c>
      <c r="C88" t="inlineStr"/>
      <c r="D88" t="inlineStr">
        <is>
          <t>ITT_variable compensation model - patent reward procedure_protected</t>
        </is>
      </c>
      <c r="E88" t="inlineStr">
        <is>
          <t>DOCUMENT</t>
        </is>
      </c>
    </row>
    <row r="89">
      <c r="A89" t="inlineStr">
        <is>
          <t>Project Notos</t>
        </is>
      </c>
      <c r="B89" t="inlineStr">
        <is>
          <t>1.1.3.3.2</t>
        </is>
      </c>
      <c r="C89" t="inlineStr"/>
      <c r="D89" t="inlineStr">
        <is>
          <t>ITT_variable compensation model 1_protected</t>
        </is>
      </c>
      <c r="E89" t="inlineStr">
        <is>
          <t>DOCUMENT</t>
        </is>
      </c>
    </row>
    <row r="90">
      <c r="A90" t="inlineStr">
        <is>
          <t>Project Notos</t>
        </is>
      </c>
      <c r="B90" t="inlineStr">
        <is>
          <t>1.1.3.3.3</t>
        </is>
      </c>
      <c r="C90" t="inlineStr"/>
      <c r="D90" t="inlineStr">
        <is>
          <t>ITT_variable compensation model password</t>
        </is>
      </c>
      <c r="E90" t="inlineStr">
        <is>
          <t>DOCUMENT</t>
        </is>
      </c>
    </row>
    <row r="91">
      <c r="A91" s="149" t="inlineStr">
        <is>
          <t>Project Notos</t>
        </is>
      </c>
      <c r="B91" s="149" t="inlineStr">
        <is>
          <t>1.1.3.4</t>
        </is>
      </c>
      <c r="C91" s="149" t="inlineStr">
        <is>
          <t>Work Council</t>
        </is>
      </c>
      <c r="D91" s="149" t="inlineStr"/>
      <c r="E91" s="149" t="inlineStr">
        <is>
          <t>FOLDER</t>
        </is>
      </c>
    </row>
    <row r="92">
      <c r="A92" t="inlineStr">
        <is>
          <t>Project Notos</t>
        </is>
      </c>
      <c r="B92" t="inlineStr">
        <is>
          <t>1.1.3.4.1</t>
        </is>
      </c>
      <c r="C92" t="inlineStr"/>
      <c r="D92" t="inlineStr">
        <is>
          <t>ITT_work council_protected</t>
        </is>
      </c>
      <c r="E92" t="inlineStr">
        <is>
          <t>DOCUMENT</t>
        </is>
      </c>
    </row>
    <row r="93">
      <c r="A93" t="inlineStr">
        <is>
          <t>Project Notos</t>
        </is>
      </c>
      <c r="B93" t="inlineStr">
        <is>
          <t>1.1.3.4.2</t>
        </is>
      </c>
      <c r="C93" t="inlineStr"/>
      <c r="D93" t="inlineStr">
        <is>
          <t>ITT_work council password</t>
        </is>
      </c>
      <c r="E93" t="inlineStr">
        <is>
          <t>DOCUMENT</t>
        </is>
      </c>
    </row>
    <row r="94">
      <c r="A94" t="inlineStr">
        <is>
          <t>Project Notos</t>
        </is>
      </c>
      <c r="B94" t="inlineStr">
        <is>
          <t>1.1.3.4.3</t>
        </is>
      </c>
      <c r="C94" t="inlineStr"/>
      <c r="D94" t="inlineStr">
        <is>
          <t>ITT_Information from the union register</t>
        </is>
      </c>
      <c r="E94" t="inlineStr">
        <is>
          <t>DOCUMENT</t>
        </is>
      </c>
    </row>
    <row r="95">
      <c r="A95" t="inlineStr">
        <is>
          <t>Project Notos</t>
        </is>
      </c>
      <c r="B95" t="inlineStr">
        <is>
          <t>1.1.3.4.4</t>
        </is>
      </c>
      <c r="C95" t="inlineStr"/>
      <c r="D95" t="inlineStr">
        <is>
          <t>ITT_Appointment of a social committee</t>
        </is>
      </c>
      <c r="E95" t="inlineStr">
        <is>
          <t>DOCUMENT</t>
        </is>
      </c>
    </row>
    <row r="96">
      <c r="A96" s="149" t="inlineStr">
        <is>
          <t>Project Notos</t>
        </is>
      </c>
      <c r="B96" s="149" t="inlineStr">
        <is>
          <t>1.1.3.5</t>
        </is>
      </c>
      <c r="C96" s="149" t="inlineStr">
        <is>
          <t>Boni</t>
        </is>
      </c>
      <c r="D96" s="149" t="inlineStr"/>
      <c r="E96" s="149" t="inlineStr">
        <is>
          <t>FOLDER</t>
        </is>
      </c>
    </row>
    <row r="97">
      <c r="A97" t="inlineStr">
        <is>
          <t>Project Notos</t>
        </is>
      </c>
      <c r="B97" t="inlineStr">
        <is>
          <t>1.1.3.5.1</t>
        </is>
      </c>
      <c r="C97" t="inlineStr"/>
      <c r="D97" t="inlineStr">
        <is>
          <t>ITT_Bonus data</t>
        </is>
      </c>
      <c r="E97" t="inlineStr">
        <is>
          <t>DOCUMENT</t>
        </is>
      </c>
    </row>
    <row r="98">
      <c r="A98" t="inlineStr">
        <is>
          <t>Project Notos</t>
        </is>
      </c>
      <c r="B98" t="inlineStr">
        <is>
          <t>1.1.3.5.2</t>
        </is>
      </c>
      <c r="C98" t="inlineStr"/>
      <c r="D98" t="inlineStr">
        <is>
          <t>ITT_20% bonus grid</t>
        </is>
      </c>
      <c r="E98" t="inlineStr">
        <is>
          <t>DOCUMENT</t>
        </is>
      </c>
    </row>
    <row r="99">
      <c r="A99" t="inlineStr">
        <is>
          <t>Project Notos</t>
        </is>
      </c>
      <c r="B99" t="inlineStr">
        <is>
          <t>1.1.3.5.3</t>
        </is>
      </c>
      <c r="C99" t="inlineStr"/>
      <c r="D99" t="inlineStr">
        <is>
          <t>ITT_Bonus 20%</t>
        </is>
      </c>
      <c r="E99" t="inlineStr">
        <is>
          <t>DOCUMENT</t>
        </is>
      </c>
    </row>
    <row r="100">
      <c r="A100" s="149" t="inlineStr">
        <is>
          <t>Project Notos</t>
        </is>
      </c>
      <c r="B100" s="149" t="inlineStr">
        <is>
          <t>1.1.3.6</t>
        </is>
      </c>
      <c r="C100" s="149" t="inlineStr">
        <is>
          <t>Data protection officer-Lux &amp; Pol</t>
        </is>
      </c>
      <c r="D100" s="149" t="inlineStr"/>
      <c r="E100" s="149" t="inlineStr">
        <is>
          <t>FOLDER</t>
        </is>
      </c>
    </row>
    <row r="101">
      <c r="A101" t="inlineStr">
        <is>
          <t>Project Notos</t>
        </is>
      </c>
      <c r="B101" t="inlineStr">
        <is>
          <t>1.1.3.6.1</t>
        </is>
      </c>
      <c r="C101" t="inlineStr"/>
      <c r="D101" t="inlineStr">
        <is>
          <t>ITT_Data Protection Officer</t>
        </is>
      </c>
      <c r="E101" t="inlineStr">
        <is>
          <t>DOCUMENT</t>
        </is>
      </c>
    </row>
    <row r="102">
      <c r="A102" s="149" t="inlineStr">
        <is>
          <t>Project Notos</t>
        </is>
      </c>
      <c r="B102" s="149" t="inlineStr">
        <is>
          <t>1.1.3.7</t>
        </is>
      </c>
      <c r="C102" s="149" t="inlineStr">
        <is>
          <t>LUX_Personnel list</t>
        </is>
      </c>
      <c r="D102" s="149" t="inlineStr"/>
      <c r="E102" s="149" t="inlineStr">
        <is>
          <t>FOLDER</t>
        </is>
      </c>
    </row>
    <row r="103">
      <c r="A103" s="3" t="inlineStr">
        <is>
          <t>Project Notos</t>
        </is>
      </c>
      <c r="B103" s="3" t="inlineStr">
        <is>
          <t>1.1.3.7.1</t>
        </is>
      </c>
      <c r="C103" s="3" t="inlineStr"/>
      <c r="D103" s="3" t="inlineStr">
        <is>
          <t>To come</t>
        </is>
      </c>
      <c r="E103" s="3" t="inlineStr">
        <is>
          <t>PLACEHOLDER</t>
        </is>
      </c>
    </row>
    <row r="104">
      <c r="A104" s="149" t="inlineStr">
        <is>
          <t>Project Notos</t>
        </is>
      </c>
      <c r="B104" s="149" t="inlineStr">
        <is>
          <t>1.1.4</t>
        </is>
      </c>
      <c r="C104" s="149" t="inlineStr">
        <is>
          <t>Patents</t>
        </is>
      </c>
      <c r="D104" s="149" t="inlineStr"/>
      <c r="E104" s="149" t="inlineStr">
        <is>
          <t>FOLDER</t>
        </is>
      </c>
    </row>
    <row r="105">
      <c r="A105" t="inlineStr">
        <is>
          <t>Project Notos</t>
        </is>
      </c>
      <c r="B105" t="inlineStr">
        <is>
          <t>1.1.4.1</t>
        </is>
      </c>
      <c r="C105" t="inlineStr"/>
      <c r="D105" t="inlineStr">
        <is>
          <t xml:space="preserve">IHE_ITT_Patent purchase agreement &amp; patent assignment agreement_final ML_2025 02 26 </t>
        </is>
      </c>
      <c r="E105" t="inlineStr">
        <is>
          <t>DOCUMENT</t>
        </is>
      </c>
    </row>
    <row r="106">
      <c r="A106" t="inlineStr">
        <is>
          <t>Project Notos</t>
        </is>
      </c>
      <c r="B106" t="inlineStr">
        <is>
          <t>1.1.4.2</t>
        </is>
      </c>
      <c r="C106" t="inlineStr"/>
      <c r="D106" t="inlineStr">
        <is>
          <t>ITT_Patents_2026</t>
        </is>
      </c>
      <c r="E106" t="inlineStr">
        <is>
          <t>DOCUMENT</t>
        </is>
      </c>
    </row>
    <row r="107">
      <c r="A107" s="149" t="inlineStr">
        <is>
          <t>Project Notos</t>
        </is>
      </c>
      <c r="B107" s="149" t="inlineStr">
        <is>
          <t>1.1.5</t>
        </is>
      </c>
      <c r="C107" s="149" t="inlineStr">
        <is>
          <t>Insurance</t>
        </is>
      </c>
      <c r="D107" s="149" t="inlineStr"/>
      <c r="E107" s="149" t="inlineStr">
        <is>
          <t>FOLDER</t>
        </is>
      </c>
    </row>
    <row r="108">
      <c r="A108" t="inlineStr">
        <is>
          <t>Project Notos</t>
        </is>
      </c>
      <c r="B108" t="inlineStr">
        <is>
          <t>1.1.5.1</t>
        </is>
      </c>
      <c r="C108" t="inlineStr"/>
      <c r="D108" t="inlineStr">
        <is>
          <t>ITT_insurance HDI_20260127</t>
        </is>
      </c>
      <c r="E108" t="inlineStr">
        <is>
          <t>DOCUMENT</t>
        </is>
      </c>
    </row>
    <row r="109">
      <c r="A109" t="inlineStr">
        <is>
          <t>Project Notos</t>
        </is>
      </c>
      <c r="B109" t="inlineStr">
        <is>
          <t>1.1.5.2</t>
        </is>
      </c>
      <c r="C109" t="inlineStr"/>
      <c r="D109" t="inlineStr">
        <is>
          <t>ITT_insurance Ergo_</t>
        </is>
      </c>
      <c r="E109" t="inlineStr">
        <is>
          <t>DOCUMENT</t>
        </is>
      </c>
    </row>
    <row r="110">
      <c r="A110" t="inlineStr">
        <is>
          <t>Project Notos</t>
        </is>
      </c>
      <c r="B110" t="inlineStr">
        <is>
          <t>1.1.5.3</t>
        </is>
      </c>
      <c r="C110" t="inlineStr"/>
      <c r="D110" t="inlineStr">
        <is>
          <t>ITT_insurance Ergo_</t>
        </is>
      </c>
      <c r="E110" t="inlineStr">
        <is>
          <t>DOCUMENT</t>
        </is>
      </c>
    </row>
    <row r="111">
      <c r="A111" t="inlineStr">
        <is>
          <t>Project Notos</t>
        </is>
      </c>
      <c r="B111" t="inlineStr">
        <is>
          <t>1.1.5.4</t>
        </is>
      </c>
      <c r="C111" t="inlineStr"/>
      <c r="D111" t="inlineStr">
        <is>
          <t>ITT_insurance Ergo_20260306</t>
        </is>
      </c>
      <c r="E111" t="inlineStr">
        <is>
          <t>DOCUMENT</t>
        </is>
      </c>
    </row>
    <row r="112">
      <c r="A112" t="inlineStr">
        <is>
          <t>Project Notos</t>
        </is>
      </c>
      <c r="B112" t="inlineStr">
        <is>
          <t>1.1.5.5</t>
        </is>
      </c>
      <c r="C112" t="inlineStr"/>
      <c r="D112" t="inlineStr">
        <is>
          <t>ITT_insurance Ergo_</t>
        </is>
      </c>
      <c r="E112" t="inlineStr">
        <is>
          <t>DOCUMENT</t>
        </is>
      </c>
    </row>
    <row r="113">
      <c r="A113" t="inlineStr">
        <is>
          <t>Project Notos</t>
        </is>
      </c>
      <c r="B113" t="inlineStr">
        <is>
          <t>1.1.5.6</t>
        </is>
      </c>
      <c r="C113" t="inlineStr"/>
      <c r="D113" t="inlineStr">
        <is>
          <t>ITT_insurance HDI_20260127</t>
        </is>
      </c>
      <c r="E113" t="inlineStr">
        <is>
          <t>DOCUMENT</t>
        </is>
      </c>
    </row>
    <row r="114">
      <c r="A114" s="149" t="inlineStr">
        <is>
          <t>Project Notos</t>
        </is>
      </c>
      <c r="B114" s="149" t="inlineStr">
        <is>
          <t>1.1.6</t>
        </is>
      </c>
      <c r="C114" s="149" t="inlineStr">
        <is>
          <t xml:space="preserve">Zabrze plant </t>
        </is>
      </c>
      <c r="D114" s="149" t="inlineStr"/>
      <c r="E114" s="149" t="inlineStr">
        <is>
          <t>FOLDER</t>
        </is>
      </c>
    </row>
    <row r="115">
      <c r="A115" s="149" t="inlineStr">
        <is>
          <t>Project Notos</t>
        </is>
      </c>
      <c r="B115" s="149" t="inlineStr">
        <is>
          <t>1.1.6.1</t>
        </is>
      </c>
      <c r="C115" s="149" t="inlineStr">
        <is>
          <t>Company register</t>
        </is>
      </c>
      <c r="D115" s="149" t="inlineStr"/>
      <c r="E115" s="149" t="inlineStr">
        <is>
          <t>FOLDER</t>
        </is>
      </c>
    </row>
    <row r="116">
      <c r="A116" t="inlineStr">
        <is>
          <t>Project Notos</t>
        </is>
      </c>
      <c r="B116" t="inlineStr">
        <is>
          <t>1.1.6.1.1</t>
        </is>
      </c>
      <c r="C116" t="inlineStr"/>
      <c r="D116" t="inlineStr">
        <is>
          <t>ITT-Zabrze Plant_register excerpt current_20260302</t>
        </is>
      </c>
      <c r="E116" t="inlineStr">
        <is>
          <t>DOCUMENT</t>
        </is>
      </c>
    </row>
    <row r="117">
      <c r="A117" t="inlineStr">
        <is>
          <t>Project Notos</t>
        </is>
      </c>
      <c r="B117" t="inlineStr">
        <is>
          <t>1.1.6.1.2</t>
        </is>
      </c>
      <c r="C117" t="inlineStr"/>
      <c r="D117" t="inlineStr">
        <is>
          <t>ITT-Zabrze Plant_register excerpt full_20260302</t>
        </is>
      </c>
      <c r="E117" t="inlineStr">
        <is>
          <t>DOCUMENT</t>
        </is>
      </c>
    </row>
    <row r="118">
      <c r="A118" t="inlineStr">
        <is>
          <t>Project Notos</t>
        </is>
      </c>
      <c r="B118" t="inlineStr">
        <is>
          <t>1.1.6.1.3</t>
        </is>
      </c>
      <c r="C118" t="inlineStr"/>
      <c r="D118" t="inlineStr">
        <is>
          <t>ITT-Zabrze Plant_establishing the branch office_20201028</t>
        </is>
      </c>
      <c r="E118" t="inlineStr">
        <is>
          <t>DOCUMENT</t>
        </is>
      </c>
    </row>
    <row r="119">
      <c r="A119" s="149" t="inlineStr">
        <is>
          <t>Project Notos</t>
        </is>
      </c>
      <c r="B119" s="149" t="inlineStr">
        <is>
          <t>1.1.6.2</t>
        </is>
      </c>
      <c r="C119" s="149" t="inlineStr">
        <is>
          <t>Representatives of the Polish branch</t>
        </is>
      </c>
      <c r="D119" s="149" t="inlineStr"/>
      <c r="E119" s="149" t="inlineStr">
        <is>
          <t>FOLDER</t>
        </is>
      </c>
    </row>
    <row r="120">
      <c r="A120" t="inlineStr">
        <is>
          <t>Project Notos</t>
        </is>
      </c>
      <c r="B120" t="inlineStr">
        <is>
          <t>1.1.6.2.1</t>
        </is>
      </c>
      <c r="C120" t="inlineStr"/>
      <c r="D120" t="inlineStr">
        <is>
          <t>ITT-Zabrze Plant_change of representatives of the branch_20240820</t>
        </is>
      </c>
      <c r="E120" t="inlineStr">
        <is>
          <t>DOCUMENT</t>
        </is>
      </c>
    </row>
    <row r="121">
      <c r="A121" t="inlineStr">
        <is>
          <t>Project Notos</t>
        </is>
      </c>
      <c r="B121" t="inlineStr">
        <is>
          <t>1.1.6.2.2</t>
        </is>
      </c>
      <c r="C121" t="inlineStr"/>
      <c r="D121" t="inlineStr">
        <is>
          <t>ITT-Zabrze Plant_change of representatives of the branch_20250425</t>
        </is>
      </c>
      <c r="E121" t="inlineStr">
        <is>
          <t>DOCUMENT</t>
        </is>
      </c>
    </row>
    <row r="122">
      <c r="A122" t="inlineStr">
        <is>
          <t>Project Notos</t>
        </is>
      </c>
      <c r="B122" t="inlineStr">
        <is>
          <t>1.1.6.2.3</t>
        </is>
      </c>
      <c r="C122" t="inlineStr"/>
      <c r="D122" t="inlineStr">
        <is>
          <t>ITT-Zabrze Plant_resignation letter_20241003</t>
        </is>
      </c>
      <c r="E122" t="inlineStr">
        <is>
          <t>DOCUMENT</t>
        </is>
      </c>
    </row>
    <row r="123">
      <c r="A123" t="inlineStr">
        <is>
          <t>Project Notos</t>
        </is>
      </c>
      <c r="B123" t="inlineStr">
        <is>
          <t>1.1.6.2.4</t>
        </is>
      </c>
      <c r="C123" t="inlineStr"/>
      <c r="D123" t="inlineStr">
        <is>
          <t>ITT-Zabrze Plant_consent to appointment_20240725</t>
        </is>
      </c>
      <c r="E123" t="inlineStr">
        <is>
          <t>DOCUMENT</t>
        </is>
      </c>
    </row>
    <row r="124">
      <c r="A124" t="inlineStr">
        <is>
          <t>Project Notos</t>
        </is>
      </c>
      <c r="B124" t="inlineStr">
        <is>
          <t>1.1.6.2.5</t>
        </is>
      </c>
      <c r="C124" t="inlineStr"/>
      <c r="D124" t="inlineStr">
        <is>
          <t>ITT-Zabrze Plant_consent to appointment_20240725</t>
        </is>
      </c>
      <c r="E124" t="inlineStr">
        <is>
          <t>DOCUMENT</t>
        </is>
      </c>
    </row>
    <row r="125">
      <c r="A125" t="inlineStr">
        <is>
          <t>Project Notos</t>
        </is>
      </c>
      <c r="B125" t="inlineStr">
        <is>
          <t>1.1.6.2.6</t>
        </is>
      </c>
      <c r="C125" t="inlineStr"/>
      <c r="D125" t="inlineStr">
        <is>
          <t>ITT-Zabrze Plant_consent to appointment_20240730</t>
        </is>
      </c>
      <c r="E125" t="inlineStr">
        <is>
          <t>DOCUMENT</t>
        </is>
      </c>
    </row>
    <row r="126">
      <c r="A126" t="inlineStr">
        <is>
          <t>Project Notos</t>
        </is>
      </c>
      <c r="B126" t="inlineStr">
        <is>
          <t>1.1.6.2.7</t>
        </is>
      </c>
      <c r="C126" t="inlineStr"/>
      <c r="D126" t="inlineStr">
        <is>
          <t>ITT-Zabrze Plant_consent to appointment_20240729</t>
        </is>
      </c>
      <c r="E126" t="inlineStr">
        <is>
          <t>DOCUMENT</t>
        </is>
      </c>
    </row>
    <row r="127">
      <c r="A127" t="inlineStr">
        <is>
          <t>Project Notos</t>
        </is>
      </c>
      <c r="B127" t="inlineStr">
        <is>
          <t>1.1.6.2.8</t>
        </is>
      </c>
      <c r="C127" t="inlineStr"/>
      <c r="D127" t="inlineStr">
        <is>
          <t>ITT-Zabrze Plant_consent to appointment_20250416</t>
        </is>
      </c>
      <c r="E127" t="inlineStr">
        <is>
          <t>DOCUMENT</t>
        </is>
      </c>
    </row>
    <row r="128">
      <c r="A128" t="inlineStr">
        <is>
          <t>Project Notos</t>
        </is>
      </c>
      <c r="B128" t="inlineStr">
        <is>
          <t>1.1.6.2.9</t>
        </is>
      </c>
      <c r="C128" t="inlineStr"/>
      <c r="D128" t="inlineStr">
        <is>
          <t>ITT-Zabrze Plant_consent to appointment_20250416</t>
        </is>
      </c>
      <c r="E128" t="inlineStr">
        <is>
          <t>DOCUMENT</t>
        </is>
      </c>
    </row>
    <row r="129">
      <c r="A129" t="inlineStr">
        <is>
          <t>Project Notos</t>
        </is>
      </c>
      <c r="B129" t="inlineStr">
        <is>
          <t>1.1.6.2.10</t>
        </is>
      </c>
      <c r="C129" t="inlineStr"/>
      <c r="D129" t="inlineStr">
        <is>
          <t>ITT_BR_assignment to Polish branch_2021</t>
        </is>
      </c>
      <c r="E129" t="inlineStr">
        <is>
          <t>DOCUMENT</t>
        </is>
      </c>
    </row>
    <row r="130">
      <c r="A130" t="inlineStr">
        <is>
          <t>Project Notos</t>
        </is>
      </c>
      <c r="B130" t="inlineStr">
        <is>
          <t>1.1.6.2.11</t>
        </is>
      </c>
      <c r="C130" t="inlineStr"/>
      <c r="D130" t="inlineStr">
        <is>
          <t>ITT_BR_establishment Polish branch_201028</t>
        </is>
      </c>
      <c r="E130" t="inlineStr">
        <is>
          <t>DOCUMENT</t>
        </is>
      </c>
    </row>
    <row r="131">
      <c r="A131" t="inlineStr">
        <is>
          <t>Project Notos</t>
        </is>
      </c>
      <c r="B131" t="inlineStr">
        <is>
          <t>1.1.6.2.12</t>
        </is>
      </c>
      <c r="C131" t="inlineStr"/>
      <c r="D131" t="inlineStr">
        <is>
          <t>ITT_change of MD Polish branch_signed_part I_230112</t>
        </is>
      </c>
      <c r="E131" t="inlineStr">
        <is>
          <t>DOCUMENT</t>
        </is>
      </c>
    </row>
    <row r="132">
      <c r="A132" t="inlineStr">
        <is>
          <t>Project Notos</t>
        </is>
      </c>
      <c r="B132" t="inlineStr">
        <is>
          <t>1.1.6.2.13</t>
        </is>
      </c>
      <c r="C132" t="inlineStr"/>
      <c r="D132" t="inlineStr">
        <is>
          <t>ITT_change of MD Polish branch_signed_part II_230112</t>
        </is>
      </c>
      <c r="E132" t="inlineStr">
        <is>
          <t>DOCUMENT</t>
        </is>
      </c>
    </row>
    <row r="133">
      <c r="A133" t="inlineStr">
        <is>
          <t>Project Notos</t>
        </is>
      </c>
      <c r="B133" t="inlineStr">
        <is>
          <t>1.1.6.2.14</t>
        </is>
      </c>
      <c r="C133" t="inlineStr"/>
      <c r="D133" t="inlineStr">
        <is>
          <t>ITT_change of MD Polish branch_signed_part III_230112</t>
        </is>
      </c>
      <c r="E133" t="inlineStr">
        <is>
          <t>DOCUMENT</t>
        </is>
      </c>
    </row>
    <row r="134">
      <c r="A134" t="inlineStr">
        <is>
          <t>Project Notos</t>
        </is>
      </c>
      <c r="B134" t="inlineStr">
        <is>
          <t>1.1.6.2.15</t>
        </is>
      </c>
      <c r="C134" t="inlineStr"/>
      <c r="D134" t="inlineStr">
        <is>
          <t>ITT_consent re appointment Polish branch_240729</t>
        </is>
      </c>
      <c r="E134" t="inlineStr">
        <is>
          <t>DOCUMENT</t>
        </is>
      </c>
    </row>
    <row r="135">
      <c r="A135" t="inlineStr">
        <is>
          <t>Project Notos</t>
        </is>
      </c>
      <c r="B135" t="inlineStr">
        <is>
          <t>1.1.6.2.16</t>
        </is>
      </c>
      <c r="C135" t="inlineStr"/>
      <c r="D135" t="inlineStr">
        <is>
          <t>ITT_consent re appointment Polish branch_240730</t>
        </is>
      </c>
      <c r="E135" t="inlineStr">
        <is>
          <t>DOCUMENT</t>
        </is>
      </c>
    </row>
    <row r="136">
      <c r="A136" t="inlineStr">
        <is>
          <t>Project Notos</t>
        </is>
      </c>
      <c r="B136" t="inlineStr">
        <is>
          <t>1.1.6.2.17</t>
        </is>
      </c>
      <c r="C136" t="inlineStr"/>
      <c r="D136" t="inlineStr">
        <is>
          <t>ITT_consent re appointment Polish branch_240725</t>
        </is>
      </c>
      <c r="E136" t="inlineStr">
        <is>
          <t>DOCUMENT</t>
        </is>
      </c>
    </row>
    <row r="137">
      <c r="A137" t="inlineStr">
        <is>
          <t>Project Notos</t>
        </is>
      </c>
      <c r="B137" t="inlineStr">
        <is>
          <t>1.1.6.2.18</t>
        </is>
      </c>
      <c r="C137" t="inlineStr"/>
      <c r="D137" t="inlineStr">
        <is>
          <t>ITT_consent re appointment Polish branch_240725</t>
        </is>
      </c>
      <c r="E137" t="inlineStr">
        <is>
          <t>DOCUMENT</t>
        </is>
      </c>
    </row>
    <row r="138">
      <c r="A138" t="inlineStr">
        <is>
          <t>Project Notos</t>
        </is>
      </c>
      <c r="B138" t="inlineStr">
        <is>
          <t>1.1.6.2.19</t>
        </is>
      </c>
      <c r="C138" t="inlineStr"/>
      <c r="D138" t="inlineStr">
        <is>
          <t>ITT_management Polish branch_230317</t>
        </is>
      </c>
      <c r="E138" t="inlineStr">
        <is>
          <t>DOCUMENT</t>
        </is>
      </c>
    </row>
    <row r="139">
      <c r="A139" t="inlineStr">
        <is>
          <t>Project Notos</t>
        </is>
      </c>
      <c r="B139" t="inlineStr">
        <is>
          <t>1.1.6.2.20</t>
        </is>
      </c>
      <c r="C139" t="inlineStr"/>
      <c r="D139" t="inlineStr">
        <is>
          <t>ITT_management Polish branch_signed_part I_230317</t>
        </is>
      </c>
      <c r="E139" t="inlineStr">
        <is>
          <t>DOCUMENT</t>
        </is>
      </c>
    </row>
    <row r="140">
      <c r="A140" t="inlineStr">
        <is>
          <t>Project Notos</t>
        </is>
      </c>
      <c r="B140" t="inlineStr">
        <is>
          <t>1.1.6.2.21</t>
        </is>
      </c>
      <c r="C140" t="inlineStr"/>
      <c r="D140" t="inlineStr">
        <is>
          <t>ITT_management Polish branch_signed_part II_230317</t>
        </is>
      </c>
      <c r="E140" t="inlineStr">
        <is>
          <t>DOCUMENT</t>
        </is>
      </c>
    </row>
    <row r="141">
      <c r="A141" t="inlineStr">
        <is>
          <t>Project Notos</t>
        </is>
      </c>
      <c r="B141" t="inlineStr">
        <is>
          <t>1.1.6.2.22</t>
        </is>
      </c>
      <c r="C141" t="inlineStr"/>
      <c r="D141" t="inlineStr">
        <is>
          <t>ITT_manager of Polish branch_2022</t>
        </is>
      </c>
      <c r="E141" t="inlineStr">
        <is>
          <t>DOCUMENT</t>
        </is>
      </c>
    </row>
    <row r="142">
      <c r="A142" s="149" t="inlineStr">
        <is>
          <t>Project Notos</t>
        </is>
      </c>
      <c r="B142" s="149" t="inlineStr">
        <is>
          <t>1.1.6.3</t>
        </is>
      </c>
      <c r="C142" s="149" t="inlineStr">
        <is>
          <t>Creation of Polish branch</t>
        </is>
      </c>
      <c r="D142" s="149" t="inlineStr"/>
      <c r="E142" s="149" t="inlineStr">
        <is>
          <t>FOLDER</t>
        </is>
      </c>
    </row>
    <row r="143">
      <c r="A143" t="inlineStr">
        <is>
          <t>Project Notos</t>
        </is>
      </c>
      <c r="B143" t="inlineStr">
        <is>
          <t>1.1.6.3.1</t>
        </is>
      </c>
      <c r="C143" t="inlineStr"/>
      <c r="D143" t="inlineStr">
        <is>
          <t>ITT_BoM_Creation Poland Branch Office_20201028</t>
        </is>
      </c>
      <c r="E143" t="inlineStr">
        <is>
          <t>DOCUMENT</t>
        </is>
      </c>
    </row>
    <row r="144">
      <c r="A144" t="inlineStr">
        <is>
          <t>Project Notos</t>
        </is>
      </c>
      <c r="B144" t="inlineStr">
        <is>
          <t>1.1.6.3.2</t>
        </is>
      </c>
      <c r="C144" t="inlineStr"/>
      <c r="D144" t="inlineStr">
        <is>
          <t>ITT_WR SH_Creation Poland Branch_20201117</t>
        </is>
      </c>
      <c r="E144" t="inlineStr">
        <is>
          <t>DOCUMENT</t>
        </is>
      </c>
    </row>
    <row r="145">
      <c r="A145" s="149" t="inlineStr">
        <is>
          <t>Project Notos</t>
        </is>
      </c>
      <c r="B145" s="149" t="inlineStr">
        <is>
          <t>1.1.6.4</t>
        </is>
      </c>
      <c r="C145" s="149" t="inlineStr">
        <is>
          <t>Land register</t>
        </is>
      </c>
      <c r="D145" s="149" t="inlineStr"/>
      <c r="E145" s="149" t="inlineStr">
        <is>
          <t>FOLDER</t>
        </is>
      </c>
    </row>
    <row r="146">
      <c r="A146" t="inlineStr">
        <is>
          <t>Project Notos</t>
        </is>
      </c>
      <c r="B146" t="inlineStr">
        <is>
          <t>1.1.6.4.1</t>
        </is>
      </c>
      <c r="C146" t="inlineStr"/>
      <c r="D146" t="inlineStr">
        <is>
          <t>ITT_Zabrze Plant_land registry excerpt_20181220</t>
        </is>
      </c>
      <c r="E146" t="inlineStr">
        <is>
          <t>DOCUMENT</t>
        </is>
      </c>
    </row>
    <row r="147">
      <c r="A147" t="inlineStr">
        <is>
          <t>Project Notos</t>
        </is>
      </c>
      <c r="B147" t="inlineStr">
        <is>
          <t>1.1.6.4.2</t>
        </is>
      </c>
      <c r="C147" t="inlineStr"/>
      <c r="D147" t="inlineStr">
        <is>
          <t>ITT_WG.-II.6621.1207.2023</t>
        </is>
      </c>
      <c r="E147" t="inlineStr">
        <is>
          <t>DOCUMENT</t>
        </is>
      </c>
    </row>
    <row r="148">
      <c r="A148" t="inlineStr">
        <is>
          <t>Project Notos</t>
        </is>
      </c>
      <c r="B148" t="inlineStr">
        <is>
          <t>1.1.6.4.3</t>
        </is>
      </c>
      <c r="C148" t="inlineStr"/>
      <c r="D148" t="inlineStr">
        <is>
          <t>ITT_ZAB-EST-land register map-23041</t>
        </is>
      </c>
      <c r="E148" t="inlineStr">
        <is>
          <t>DOCUMENT</t>
        </is>
      </c>
    </row>
    <row r="149">
      <c r="A149" s="149" t="inlineStr">
        <is>
          <t>Project Notos</t>
        </is>
      </c>
      <c r="B149" s="149" t="inlineStr">
        <is>
          <t>1.1.6.5</t>
        </is>
      </c>
      <c r="C149" s="149" t="inlineStr">
        <is>
          <t>Rental contract</t>
        </is>
      </c>
      <c r="D149" s="149" t="inlineStr"/>
      <c r="E149" s="149" t="inlineStr">
        <is>
          <t>FOLDER</t>
        </is>
      </c>
    </row>
    <row r="150">
      <c r="A150" s="149" t="inlineStr">
        <is>
          <t>Project Notos</t>
        </is>
      </c>
      <c r="B150" s="149" t="inlineStr">
        <is>
          <t>1.1.6.5.1</t>
        </is>
      </c>
      <c r="C150" s="149" t="inlineStr">
        <is>
          <t>Panattoni Warehouse</t>
        </is>
      </c>
      <c r="D150" s="149" t="inlineStr"/>
      <c r="E150" s="149" t="inlineStr">
        <is>
          <t>FOLDER</t>
        </is>
      </c>
    </row>
    <row r="151">
      <c r="A151" t="inlineStr">
        <is>
          <t>Project Notos</t>
        </is>
      </c>
      <c r="B151" t="inlineStr">
        <is>
          <t>1.1.6.5.1.1</t>
        </is>
      </c>
      <c r="C151" t="inlineStr"/>
      <c r="D151" t="inlineStr">
        <is>
          <t>ITT-Zabrze Plant_lease agreement Panattoni_202311</t>
        </is>
      </c>
      <c r="E151" t="inlineStr">
        <is>
          <t>DOCUMENT</t>
        </is>
      </c>
    </row>
    <row r="152">
      <c r="A152" t="inlineStr">
        <is>
          <t>Project Notos</t>
        </is>
      </c>
      <c r="B152" t="inlineStr">
        <is>
          <t>1.1.6.5.1.2</t>
        </is>
      </c>
      <c r="C152" t="inlineStr"/>
      <c r="D152" t="inlineStr">
        <is>
          <t>ITT-Zabrze Plant_annex no. 1 te lease agreement Panattoni_202311</t>
        </is>
      </c>
      <c r="E152" t="inlineStr">
        <is>
          <t>DOCUMENT</t>
        </is>
      </c>
    </row>
    <row r="153">
      <c r="A153" s="149" t="inlineStr">
        <is>
          <t>Project Notos</t>
        </is>
      </c>
      <c r="B153" s="149" t="inlineStr">
        <is>
          <t>1.1.6.5.2</t>
        </is>
      </c>
      <c r="C153" s="149" t="inlineStr">
        <is>
          <t>CTP Warehouse</t>
        </is>
      </c>
      <c r="D153" s="149" t="inlineStr"/>
      <c r="E153" s="149" t="inlineStr">
        <is>
          <t>FOLDER</t>
        </is>
      </c>
    </row>
    <row r="154">
      <c r="A154" t="inlineStr">
        <is>
          <t>Project Notos</t>
        </is>
      </c>
      <c r="B154" t="inlineStr">
        <is>
          <t>1.1.6.5.2.1</t>
        </is>
      </c>
      <c r="C154" t="inlineStr"/>
      <c r="D154" t="inlineStr">
        <is>
          <t>ITT_warehouse lease agreement CTP_20240717</t>
        </is>
      </c>
      <c r="E154" t="inlineStr">
        <is>
          <t>DOCUMENT</t>
        </is>
      </c>
    </row>
    <row r="155">
      <c r="A155" t="inlineStr">
        <is>
          <t>Project Notos</t>
        </is>
      </c>
      <c r="B155" t="inlineStr">
        <is>
          <t>1.1.6.5.3</t>
        </is>
      </c>
      <c r="C155" t="inlineStr"/>
      <c r="D155" t="inlineStr">
        <is>
          <t>ITT-Zabrze Plant_lease agreement re Zabrze Plant_20190325</t>
        </is>
      </c>
      <c r="E155" t="inlineStr">
        <is>
          <t>DOCUMENT</t>
        </is>
      </c>
    </row>
    <row r="156">
      <c r="A156" t="inlineStr">
        <is>
          <t>Project Notos</t>
        </is>
      </c>
      <c r="B156" t="inlineStr">
        <is>
          <t>1.1.6.5.4</t>
        </is>
      </c>
      <c r="C156" t="inlineStr"/>
      <c r="D156" t="inlineStr">
        <is>
          <t>ITT-Zabrze Plant_annex no. 1 to lease agreement re Zabrze Plant_20200302</t>
        </is>
      </c>
      <c r="E156" t="inlineStr">
        <is>
          <t>DOCUMENT</t>
        </is>
      </c>
    </row>
    <row r="157">
      <c r="A157" t="inlineStr">
        <is>
          <t>Project Notos</t>
        </is>
      </c>
      <c r="B157" t="inlineStr">
        <is>
          <t>1.1.6.5.5</t>
        </is>
      </c>
      <c r="C157" t="inlineStr"/>
      <c r="D157" t="inlineStr">
        <is>
          <t>ITT-Zabrze Plant_annex no. 2 to lease agreement re Zabrze Plant_20201125</t>
        </is>
      </c>
      <c r="E157" t="inlineStr">
        <is>
          <t>DOCUMENT</t>
        </is>
      </c>
    </row>
    <row r="158">
      <c r="A158" t="inlineStr">
        <is>
          <t>Project Notos</t>
        </is>
      </c>
      <c r="B158" t="inlineStr">
        <is>
          <t>1.1.6.5.6</t>
        </is>
      </c>
      <c r="C158" t="inlineStr"/>
      <c r="D158" t="inlineStr">
        <is>
          <t>ITT-Zabrze Plant_annex no. 3 to lease agreement re Zabrze Plant_20210401</t>
        </is>
      </c>
      <c r="E158" t="inlineStr">
        <is>
          <t>DOCUMENT</t>
        </is>
      </c>
    </row>
    <row r="159">
      <c r="A159" t="inlineStr">
        <is>
          <t>Project Notos</t>
        </is>
      </c>
      <c r="B159" t="inlineStr">
        <is>
          <t>1.1.6.5.7</t>
        </is>
      </c>
      <c r="C159" t="inlineStr"/>
      <c r="D159" t="inlineStr">
        <is>
          <t>ITT-Zabrze Plant_letter with confirmation of the lease re Zabrze Plant_20240703</t>
        </is>
      </c>
      <c r="E159" t="inlineStr">
        <is>
          <t>DOCUMENT</t>
        </is>
      </c>
    </row>
    <row r="160">
      <c r="A160" s="149" t="inlineStr">
        <is>
          <t>Project Notos</t>
        </is>
      </c>
      <c r="B160" s="149" t="inlineStr">
        <is>
          <t>1.1.6.6</t>
        </is>
      </c>
      <c r="C160" s="149" t="inlineStr">
        <is>
          <t>Permits</t>
        </is>
      </c>
      <c r="D160" s="149" t="inlineStr"/>
      <c r="E160" s="149" t="inlineStr">
        <is>
          <t>FOLDER</t>
        </is>
      </c>
    </row>
    <row r="161">
      <c r="A161" s="149" t="inlineStr">
        <is>
          <t>Project Notos</t>
        </is>
      </c>
      <c r="B161" s="149" t="inlineStr">
        <is>
          <t>1.1.6.6.1</t>
        </is>
      </c>
      <c r="C161" s="149" t="inlineStr">
        <is>
          <t>Air emission permit</t>
        </is>
      </c>
      <c r="D161" s="149" t="inlineStr"/>
      <c r="E161" s="149" t="inlineStr">
        <is>
          <t>FOLDER</t>
        </is>
      </c>
    </row>
    <row r="162">
      <c r="A162" t="inlineStr">
        <is>
          <t>Project Notos</t>
        </is>
      </c>
      <c r="B162" t="inlineStr">
        <is>
          <t>1.1.6.6.1.1</t>
        </is>
      </c>
      <c r="C162" t="inlineStr"/>
      <c r="D162" t="inlineStr">
        <is>
          <t>ITT_Decision Nr E/1 - 2023</t>
        </is>
      </c>
      <c r="E162" t="inlineStr">
        <is>
          <t>DOCUMENT</t>
        </is>
      </c>
    </row>
    <row r="163">
      <c r="A163" t="inlineStr">
        <is>
          <t>Project Notos</t>
        </is>
      </c>
      <c r="B163" t="inlineStr">
        <is>
          <t>1.1.6.6.1.2</t>
        </is>
      </c>
      <c r="C163" t="inlineStr"/>
      <c r="D163" t="inlineStr">
        <is>
          <t>ITT_Decision Nr E/23 - 2024</t>
        </is>
      </c>
      <c r="E163" t="inlineStr">
        <is>
          <t>DOCUMENT</t>
        </is>
      </c>
    </row>
    <row r="164">
      <c r="A164" t="inlineStr">
        <is>
          <t>Project Notos</t>
        </is>
      </c>
      <c r="B164" t="inlineStr">
        <is>
          <t>1.1.6.6.1.3</t>
        </is>
      </c>
      <c r="C164" t="inlineStr"/>
      <c r="D164" t="inlineStr">
        <is>
          <t>ITT-Zabrze Plant_pollutant emission permit_20230109</t>
        </is>
      </c>
      <c r="E164" t="inlineStr">
        <is>
          <t>DOCUMENT</t>
        </is>
      </c>
    </row>
    <row r="165">
      <c r="A165" s="149" t="inlineStr">
        <is>
          <t>Project Notos</t>
        </is>
      </c>
      <c r="B165" s="149" t="inlineStr">
        <is>
          <t>1.1.6.6.2</t>
        </is>
      </c>
      <c r="C165" s="149" t="inlineStr">
        <is>
          <t>Plant construction documents</t>
        </is>
      </c>
      <c r="D165" s="149" t="inlineStr"/>
      <c r="E165" s="149" t="inlineStr">
        <is>
          <t>FOLDER</t>
        </is>
      </c>
    </row>
    <row r="166">
      <c r="A166" t="inlineStr">
        <is>
          <t>Project Notos</t>
        </is>
      </c>
      <c r="B166" t="inlineStr">
        <is>
          <t>1.1.6.6.2.1</t>
        </is>
      </c>
      <c r="C166" t="inlineStr"/>
      <c r="D166" t="inlineStr">
        <is>
          <t>ITT_200722 Decyzja PNB nr 668-2020 ostateczna</t>
        </is>
      </c>
      <c r="E166" t="inlineStr">
        <is>
          <t>DOCUMENT</t>
        </is>
      </c>
    </row>
    <row r="167">
      <c r="A167" t="inlineStr">
        <is>
          <t>Project Notos</t>
        </is>
      </c>
      <c r="B167" t="inlineStr">
        <is>
          <t>1.1.6.6.2.2</t>
        </is>
      </c>
      <c r="C167" t="inlineStr"/>
      <c r="D167" t="inlineStr">
        <is>
          <t>ITT_2021.03.02 Zaświadczenie - PnU 8-2021</t>
        </is>
      </c>
      <c r="E167" t="inlineStr">
        <is>
          <t>DOCUMENT</t>
        </is>
      </c>
    </row>
    <row r="168">
      <c r="A168" t="inlineStr">
        <is>
          <t>Project Notos</t>
        </is>
      </c>
      <c r="B168" t="inlineStr">
        <is>
          <t>1.1.6.6.2.3</t>
        </is>
      </c>
      <c r="C168" t="inlineStr"/>
      <c r="D168" t="inlineStr">
        <is>
          <t>ITT_25017-ZAB-EST_Stacja azotu i silosy_PNB prawomocne</t>
        </is>
      </c>
      <c r="E168" t="inlineStr">
        <is>
          <t>DOCUMENT</t>
        </is>
      </c>
    </row>
    <row r="169">
      <c r="A169" t="inlineStr">
        <is>
          <t>Project Notos</t>
        </is>
      </c>
      <c r="B169" t="inlineStr">
        <is>
          <t>1.1.6.6.2.4</t>
        </is>
      </c>
      <c r="C169" t="inlineStr"/>
      <c r="D169" t="inlineStr">
        <is>
          <t>ITT_Nasadzenia umorzenie opłaty</t>
        </is>
      </c>
      <c r="E169" t="inlineStr">
        <is>
          <t>DOCUMENT</t>
        </is>
      </c>
    </row>
    <row r="170">
      <c r="A170" t="inlineStr">
        <is>
          <t>Project Notos</t>
        </is>
      </c>
      <c r="B170" t="inlineStr">
        <is>
          <t>1.1.6.6.2.5</t>
        </is>
      </c>
      <c r="C170" t="inlineStr"/>
      <c r="D170" t="inlineStr">
        <is>
          <t>ITT_2025-08-02_DECYZJA OŚ-7-2025_prawomocna 2025.10.09 + post</t>
        </is>
      </c>
      <c r="E170" t="inlineStr">
        <is>
          <t>DOCUMENT</t>
        </is>
      </c>
    </row>
    <row r="171">
      <c r="A171" t="inlineStr">
        <is>
          <t>Project Notos</t>
        </is>
      </c>
      <c r="B171" t="inlineStr">
        <is>
          <t>1.1.6.6.2.6</t>
        </is>
      </c>
      <c r="C171" t="inlineStr"/>
      <c r="D171" t="inlineStr">
        <is>
          <t>ITT_SKM_C25826020408220</t>
        </is>
      </c>
      <c r="E171" t="inlineStr">
        <is>
          <t>DOCUMENT</t>
        </is>
      </c>
    </row>
    <row r="172">
      <c r="A172" t="inlineStr">
        <is>
          <t>Project Notos</t>
        </is>
      </c>
      <c r="B172" t="inlineStr">
        <is>
          <t>1.1.6.6.2.7</t>
        </is>
      </c>
      <c r="C172" t="inlineStr"/>
      <c r="D172" t="inlineStr">
        <is>
          <t xml:space="preserve">ITT_District Inspectorate of Construction_Zaświadczenie_8-2021_2021.03.02 </t>
        </is>
      </c>
      <c r="E172" t="inlineStr">
        <is>
          <t>DOCUMENT</t>
        </is>
      </c>
    </row>
    <row r="173">
      <c r="A173" t="inlineStr">
        <is>
          <t>Project Notos</t>
        </is>
      </c>
      <c r="B173" t="inlineStr">
        <is>
          <t>1.1.6.6.2.8</t>
        </is>
      </c>
      <c r="C173" t="inlineStr"/>
      <c r="D173" t="inlineStr">
        <is>
          <t>ITT_Plan_19036-PB-Z_02-2020.09.11</t>
        </is>
      </c>
      <c r="E173" t="inlineStr">
        <is>
          <t>DOCUMENT</t>
        </is>
      </c>
    </row>
    <row r="174">
      <c r="A174" s="149" t="inlineStr">
        <is>
          <t>Project Notos</t>
        </is>
      </c>
      <c r="B174" s="149" t="inlineStr">
        <is>
          <t>1.1.6.6.3</t>
        </is>
      </c>
      <c r="C174" s="149" t="inlineStr">
        <is>
          <t>Waste generation permit application</t>
        </is>
      </c>
      <c r="D174" s="149" t="inlineStr"/>
      <c r="E174" s="149" t="inlineStr">
        <is>
          <t>FOLDER</t>
        </is>
      </c>
    </row>
    <row r="175">
      <c r="A175" t="inlineStr">
        <is>
          <t>Project Notos</t>
        </is>
      </c>
      <c r="B175" t="inlineStr">
        <is>
          <t>1.1.6.6.3.1</t>
        </is>
      </c>
      <c r="C175" t="inlineStr"/>
      <c r="D175" t="inlineStr">
        <is>
          <t>ITT_Application 16.10.2025</t>
        </is>
      </c>
      <c r="E175" t="inlineStr">
        <is>
          <t>DOCUMENT</t>
        </is>
      </c>
    </row>
    <row r="176">
      <c r="A176" t="inlineStr">
        <is>
          <t>Project Notos</t>
        </is>
      </c>
      <c r="B176" t="inlineStr">
        <is>
          <t>1.1.6.6.3.2</t>
        </is>
      </c>
      <c r="C176" t="inlineStr"/>
      <c r="D176" t="inlineStr">
        <is>
          <t>ITT_Decision Nr E/10 - 2026</t>
        </is>
      </c>
      <c r="E176" t="inlineStr">
        <is>
          <t>DOCUMENT</t>
        </is>
      </c>
    </row>
    <row r="177">
      <c r="A177" t="inlineStr">
        <is>
          <t>Project Notos</t>
        </is>
      </c>
      <c r="B177" t="inlineStr">
        <is>
          <t>1.1.6.6.4</t>
        </is>
      </c>
      <c r="C177" t="inlineStr"/>
      <c r="D177" t="inlineStr">
        <is>
          <t>ITT_Alba Ekoplus Invoice</t>
        </is>
      </c>
      <c r="E177" t="inlineStr">
        <is>
          <t>DOCUMENT</t>
        </is>
      </c>
    </row>
    <row r="178">
      <c r="A178" s="149" t="inlineStr">
        <is>
          <t>Project Notos</t>
        </is>
      </c>
      <c r="B178" s="149" t="inlineStr">
        <is>
          <t>1.1.6.7</t>
        </is>
      </c>
      <c r="C178" s="149" t="inlineStr">
        <is>
          <t>Appraisal reports</t>
        </is>
      </c>
      <c r="D178" s="149" t="inlineStr"/>
      <c r="E178" s="149" t="inlineStr">
        <is>
          <t>FOLDER</t>
        </is>
      </c>
    </row>
    <row r="179">
      <c r="A179" t="inlineStr">
        <is>
          <t>Project Notos</t>
        </is>
      </c>
      <c r="B179" t="inlineStr">
        <is>
          <t>1.1.6.7.1</t>
        </is>
      </c>
      <c r="C179" t="inlineStr"/>
      <c r="D179" t="inlineStr">
        <is>
          <t>ITT_Zabrze Wilczka 0625</t>
        </is>
      </c>
      <c r="E179" t="inlineStr">
        <is>
          <t>DOCUMENT</t>
        </is>
      </c>
    </row>
    <row r="180">
      <c r="A180" s="149" t="inlineStr">
        <is>
          <t>Project Notos</t>
        </is>
      </c>
      <c r="B180" s="149" t="inlineStr">
        <is>
          <t>1.1.7</t>
        </is>
      </c>
      <c r="C180" s="149" t="inlineStr">
        <is>
          <t>Legal proceedings</t>
        </is>
      </c>
      <c r="D180" s="149" t="inlineStr"/>
      <c r="E180" s="149" t="inlineStr">
        <is>
          <t>FOLDER</t>
        </is>
      </c>
    </row>
    <row r="181">
      <c r="A181" t="inlineStr">
        <is>
          <t>Project Notos</t>
        </is>
      </c>
      <c r="B181" t="inlineStr">
        <is>
          <t>1.1.7.1</t>
        </is>
      </c>
      <c r="C181" t="inlineStr"/>
      <c r="D181" t="inlineStr">
        <is>
          <t>ITT_description Wagner case_2017</t>
        </is>
      </c>
      <c r="E181" t="inlineStr">
        <is>
          <t>DOCUMENT</t>
        </is>
      </c>
    </row>
    <row r="182">
      <c r="A182" t="inlineStr">
        <is>
          <t>Project Notos</t>
        </is>
      </c>
      <c r="B182" t="inlineStr">
        <is>
          <t>1.1.7.2</t>
        </is>
      </c>
      <c r="C182" t="inlineStr"/>
      <c r="D182" t="inlineStr">
        <is>
          <t>ITT_executive summary_Wagner case_2017</t>
        </is>
      </c>
      <c r="E182" t="inlineStr">
        <is>
          <t>DOCUMENT</t>
        </is>
      </c>
    </row>
    <row r="183">
      <c r="A183" t="inlineStr">
        <is>
          <t>Project Notos</t>
        </is>
      </c>
      <c r="B183" t="inlineStr">
        <is>
          <t>1.1.7.3</t>
        </is>
      </c>
      <c r="C183" t="inlineStr"/>
      <c r="D183" t="inlineStr">
        <is>
          <t>ITT_call for payment from Promus_20251106</t>
        </is>
      </c>
      <c r="E183" t="inlineStr">
        <is>
          <t>DOCUMENT</t>
        </is>
      </c>
    </row>
    <row r="184">
      <c r="A184" t="inlineStr">
        <is>
          <t>Project Notos</t>
        </is>
      </c>
      <c r="B184" t="inlineStr">
        <is>
          <t>1.1.7.4</t>
        </is>
      </c>
      <c r="C184" t="inlineStr"/>
      <c r="D184" t="inlineStr">
        <is>
          <t>ITT_employment disputes_260319</t>
        </is>
      </c>
      <c r="E184" t="inlineStr">
        <is>
          <t>DOCUMENT</t>
        </is>
      </c>
    </row>
    <row r="185">
      <c r="A185" t="inlineStr">
        <is>
          <t>Project Notos</t>
        </is>
      </c>
      <c r="B185" t="inlineStr">
        <is>
          <t>1.1.7.5</t>
        </is>
      </c>
      <c r="C185" t="inlineStr"/>
      <c r="D185" t="inlineStr">
        <is>
          <t>ITT_Summary Stilmar</t>
        </is>
      </c>
      <c r="E185" t="inlineStr">
        <is>
          <t>DOCUMENT</t>
        </is>
      </c>
    </row>
    <row r="186">
      <c r="A186" s="149" t="inlineStr">
        <is>
          <t>Project Notos</t>
        </is>
      </c>
      <c r="B186" s="149" t="inlineStr">
        <is>
          <t>1.1.8</t>
        </is>
      </c>
      <c r="C186" s="149" t="inlineStr">
        <is>
          <t>Office rental contract</t>
        </is>
      </c>
      <c r="D186" s="149" t="inlineStr"/>
      <c r="E186" s="149" t="inlineStr">
        <is>
          <t>FOLDER</t>
        </is>
      </c>
    </row>
    <row r="187">
      <c r="A187" t="inlineStr">
        <is>
          <t>Project Notos</t>
        </is>
      </c>
      <c r="B187" t="inlineStr">
        <is>
          <t>1.1.8.1</t>
        </is>
      </c>
      <c r="C187" t="inlineStr"/>
      <c r="D187" t="inlineStr">
        <is>
          <t>ITT_SISA Lux office rental</t>
        </is>
      </c>
      <c r="E187" t="inlineStr">
        <is>
          <t>DOCUMENT</t>
        </is>
      </c>
    </row>
    <row r="188">
      <c r="A188" s="149" t="inlineStr">
        <is>
          <t>Project Notos</t>
        </is>
      </c>
      <c r="B188" s="149" t="inlineStr">
        <is>
          <t>1.1.9</t>
        </is>
      </c>
      <c r="C188" s="149" t="inlineStr">
        <is>
          <t>Data protection</t>
        </is>
      </c>
      <c r="D188" s="149" t="inlineStr"/>
      <c r="E188" s="149" t="inlineStr">
        <is>
          <t>FOLDER</t>
        </is>
      </c>
    </row>
    <row r="189">
      <c r="A189" t="inlineStr">
        <is>
          <t>Project Notos</t>
        </is>
      </c>
      <c r="B189" t="inlineStr">
        <is>
          <t>1.1.9.1</t>
        </is>
      </c>
      <c r="C189" t="inlineStr"/>
      <c r="D189" t="inlineStr">
        <is>
          <t>ITT_HR-PR-03 Privacy Policy Rev.3 (2) clean</t>
        </is>
      </c>
      <c r="E189" t="inlineStr">
        <is>
          <t>DOCUMENT</t>
        </is>
      </c>
    </row>
    <row r="190">
      <c r="A190" s="149" t="inlineStr">
        <is>
          <t>Project Notos</t>
        </is>
      </c>
      <c r="B190" s="149" t="inlineStr">
        <is>
          <t>1.1.9.2</t>
        </is>
      </c>
      <c r="C190" s="149" t="inlineStr">
        <is>
          <t>ITT_GDPR Policy – Annexes</t>
        </is>
      </c>
      <c r="D190" s="149" t="inlineStr"/>
      <c r="E190" s="149" t="inlineStr">
        <is>
          <t>FOLDER</t>
        </is>
      </c>
    </row>
    <row r="191">
      <c r="A191" t="inlineStr">
        <is>
          <t>Project Notos</t>
        </is>
      </c>
      <c r="B191" t="inlineStr">
        <is>
          <t>1.1.9.2.1</t>
        </is>
      </c>
      <c r="C191" t="inlineStr"/>
      <c r="D191" t="inlineStr">
        <is>
          <t>Annex-1Register of processing activities ok_redacted</t>
        </is>
      </c>
      <c r="E191" t="inlineStr">
        <is>
          <t>DOCUMENT</t>
        </is>
      </c>
    </row>
    <row r="192">
      <c r="A192" t="inlineStr">
        <is>
          <t>Project Notos</t>
        </is>
      </c>
      <c r="B192" t="inlineStr">
        <is>
          <t>1.1.9.2.2</t>
        </is>
      </c>
      <c r="C192" t="inlineStr"/>
      <c r="D192" t="inlineStr">
        <is>
          <t>Annex-2 Register of all categories of processing activities_redacted</t>
        </is>
      </c>
      <c r="E192" t="inlineStr">
        <is>
          <t>DOCUMENT</t>
        </is>
      </c>
    </row>
    <row r="193">
      <c r="A193" t="inlineStr">
        <is>
          <t>Project Notos</t>
        </is>
      </c>
      <c r="B193" t="inlineStr">
        <is>
          <t>1.1.9.2.3</t>
        </is>
      </c>
      <c r="C193" t="inlineStr"/>
      <c r="D193" t="inlineStr">
        <is>
          <t>Annex-3_authorization to process personal data _new</t>
        </is>
      </c>
      <c r="E193" t="inlineStr">
        <is>
          <t>DOCUMENT</t>
        </is>
      </c>
    </row>
    <row r="194">
      <c r="A194" t="inlineStr">
        <is>
          <t>Project Notos</t>
        </is>
      </c>
      <c r="B194" t="inlineStr">
        <is>
          <t>1.1.9.2.4</t>
        </is>
      </c>
      <c r="C194" t="inlineStr"/>
      <c r="D194" t="inlineStr">
        <is>
          <t>Annex-4_employee confidentaility agreement_new</t>
        </is>
      </c>
      <c r="E194" t="inlineStr">
        <is>
          <t>DOCUMENT</t>
        </is>
      </c>
    </row>
    <row r="195">
      <c r="A195" t="inlineStr">
        <is>
          <t>Project Notos</t>
        </is>
      </c>
      <c r="B195" t="inlineStr">
        <is>
          <t>1.1.9.2.5</t>
        </is>
      </c>
      <c r="C195" t="inlineStr"/>
      <c r="D195" t="inlineStr">
        <is>
          <t>Annex-5_data processing agreement-template</t>
        </is>
      </c>
      <c r="E195" t="inlineStr">
        <is>
          <t>DOCUMENT</t>
        </is>
      </c>
    </row>
    <row r="196">
      <c r="A196" t="inlineStr">
        <is>
          <t>Project Notos</t>
        </is>
      </c>
      <c r="B196" t="inlineStr">
        <is>
          <t>1.1.9.2.6</t>
        </is>
      </c>
      <c r="C196" t="inlineStr"/>
      <c r="D196" t="inlineStr">
        <is>
          <t>Annex-6_Register_of processors_entrustment</t>
        </is>
      </c>
      <c r="E196" t="inlineStr">
        <is>
          <t>DOCUMENT</t>
        </is>
      </c>
    </row>
    <row r="197">
      <c r="A197" t="inlineStr">
        <is>
          <t>Project Notos</t>
        </is>
      </c>
      <c r="B197" t="inlineStr">
        <is>
          <t>1.1.9.2.7</t>
        </is>
      </c>
      <c r="C197" t="inlineStr"/>
      <c r="D197" t="inlineStr">
        <is>
          <t>Annex-7 Information clause</t>
        </is>
      </c>
      <c r="E197" t="inlineStr">
        <is>
          <t>DOCUMENT</t>
        </is>
      </c>
    </row>
    <row r="198">
      <c r="A198" t="inlineStr">
        <is>
          <t>Project Notos</t>
        </is>
      </c>
      <c r="B198" t="inlineStr">
        <is>
          <t>1.1.9.2.8</t>
        </is>
      </c>
      <c r="C198" t="inlineStr"/>
      <c r="D198" t="inlineStr">
        <is>
          <t>Annex-8 - Procedure for reporting personal data breaches</t>
        </is>
      </c>
      <c r="E198" t="inlineStr">
        <is>
          <t>DOCUMENT</t>
        </is>
      </c>
    </row>
    <row r="199">
      <c r="A199" s="149" t="inlineStr">
        <is>
          <t>Project Notos</t>
        </is>
      </c>
      <c r="B199" s="149" t="inlineStr">
        <is>
          <t>1.1.10</t>
        </is>
      </c>
      <c r="C199" s="149" t="inlineStr">
        <is>
          <t>Permits</t>
        </is>
      </c>
      <c r="D199" s="149" t="inlineStr"/>
      <c r="E199" s="149" t="inlineStr">
        <is>
          <t>FOLDER</t>
        </is>
      </c>
    </row>
    <row r="200">
      <c r="A200" t="inlineStr">
        <is>
          <t>Project Notos</t>
        </is>
      </c>
      <c r="B200" t="inlineStr">
        <is>
          <t>1.1.10.1</t>
        </is>
      </c>
      <c r="C200" t="inlineStr"/>
      <c r="D200" t="inlineStr">
        <is>
          <t>ITT_Letter Ministry of Economy to SISA_160504</t>
        </is>
      </c>
      <c r="E200" t="inlineStr">
        <is>
          <t>DOCUMENT</t>
        </is>
      </c>
    </row>
    <row r="201">
      <c r="A201" t="inlineStr">
        <is>
          <t>Project Notos</t>
        </is>
      </c>
      <c r="B201" t="inlineStr">
        <is>
          <t>1.1.10.2</t>
        </is>
      </c>
      <c r="C201" t="inlineStr"/>
      <c r="D201" t="inlineStr">
        <is>
          <t>ITT_N-#-1-16-0653_COMMODO_P17-010_Annexe3_G00_PERMIT_AEV_P15-036_1_16_0653_171206</t>
        </is>
      </c>
      <c r="E201" t="inlineStr">
        <is>
          <t>DOCUMENT</t>
        </is>
      </c>
    </row>
    <row r="202">
      <c r="A202" t="inlineStr">
        <is>
          <t>Project Notos</t>
        </is>
      </c>
      <c r="B202" t="inlineStr">
        <is>
          <t>1.1.10.3</t>
        </is>
      </c>
      <c r="C202" t="inlineStr"/>
      <c r="D202" t="inlineStr">
        <is>
          <t>ITT_LET_COMPLET_ITM_P17-010_1_2018_0355_161_labos_in_hall_03_190403</t>
        </is>
      </c>
      <c r="E202" t="inlineStr">
        <is>
          <t>DOCUMENT</t>
        </is>
      </c>
    </row>
    <row r="203">
      <c r="A203" t="inlineStr">
        <is>
          <t>Project Notos</t>
        </is>
      </c>
      <c r="B203" t="inlineStr">
        <is>
          <t>1.1.10.4</t>
        </is>
      </c>
      <c r="C203" t="inlineStr"/>
      <c r="D203" t="inlineStr">
        <is>
          <t>ITT_Permit_Research Lab_190820</t>
        </is>
      </c>
      <c r="E203" t="inlineStr">
        <is>
          <t>DOCUMENT</t>
        </is>
      </c>
    </row>
    <row r="204">
      <c r="A204" t="inlineStr">
        <is>
          <t>Project Notos</t>
        </is>
      </c>
      <c r="B204" t="inlineStr">
        <is>
          <t>1.1.10.5</t>
        </is>
      </c>
      <c r="C204" t="inlineStr"/>
      <c r="D204" t="inlineStr">
        <is>
          <t>ITT_N-1-2008-0355-161-Auth-Minstre-du-Travail_191115</t>
        </is>
      </c>
      <c r="E204" t="inlineStr">
        <is>
          <t>DOCUMENT</t>
        </is>
      </c>
    </row>
    <row r="205">
      <c r="A205" t="inlineStr">
        <is>
          <t>Project Notos</t>
        </is>
      </c>
      <c r="B205" t="inlineStr">
        <is>
          <t>1.1.10.6</t>
        </is>
      </c>
      <c r="C205" t="inlineStr"/>
      <c r="D205" t="inlineStr">
        <is>
          <t>ITT_Authorisation_forklift_230123</t>
        </is>
      </c>
      <c r="E205" t="inlineStr">
        <is>
          <t>DOCUMENT</t>
        </is>
      </c>
    </row>
    <row r="206">
      <c r="A206" t="inlineStr">
        <is>
          <t>Project Notos</t>
        </is>
      </c>
      <c r="B206" t="inlineStr">
        <is>
          <t>1.1.10.7</t>
        </is>
      </c>
      <c r="C206" t="inlineStr"/>
      <c r="D206" t="inlineStr">
        <is>
          <t>ITT_Authorisation_forklift_230306</t>
        </is>
      </c>
      <c r="E206" t="inlineStr">
        <is>
          <t>DOCUMENT</t>
        </is>
      </c>
    </row>
    <row r="207">
      <c r="A207" t="inlineStr">
        <is>
          <t>Project Notos</t>
        </is>
      </c>
      <c r="B207" t="inlineStr">
        <is>
          <t>1.1.10.8</t>
        </is>
      </c>
      <c r="C207" t="inlineStr"/>
      <c r="D207" t="inlineStr">
        <is>
          <t>ITT_Autorisation_fluorinated greenhouse gases_250514</t>
        </is>
      </c>
      <c r="E207" t="inlineStr">
        <is>
          <t>DOCUMENT</t>
        </is>
      </c>
    </row>
    <row r="208">
      <c r="A208" s="149" t="inlineStr">
        <is>
          <t>Project Notos</t>
        </is>
      </c>
      <c r="B208" s="149" t="inlineStr">
        <is>
          <t>1.2</t>
        </is>
      </c>
      <c r="C208" s="149" t="inlineStr">
        <is>
          <t>Innerio Heat Exchanger GmbH (IHE)</t>
        </is>
      </c>
      <c r="D208" s="149" t="inlineStr"/>
      <c r="E208" s="149" t="inlineStr">
        <is>
          <t>FOLDER</t>
        </is>
      </c>
    </row>
    <row r="209">
      <c r="A209" s="149" t="inlineStr">
        <is>
          <t>Project Notos</t>
        </is>
      </c>
      <c r="B209" s="149" t="inlineStr">
        <is>
          <t>1.2.1</t>
        </is>
      </c>
      <c r="C209" s="149" t="inlineStr">
        <is>
          <t>Corporate</t>
        </is>
      </c>
      <c r="D209" s="149" t="inlineStr"/>
      <c r="E209" s="149" t="inlineStr">
        <is>
          <t>FOLDER</t>
        </is>
      </c>
    </row>
    <row r="210">
      <c r="A210" s="149" t="inlineStr">
        <is>
          <t>Project Notos</t>
        </is>
      </c>
      <c r="B210" s="149" t="inlineStr">
        <is>
          <t>1.2.1.1</t>
        </is>
      </c>
      <c r="C210" s="149" t="inlineStr">
        <is>
          <t>Company register</t>
        </is>
      </c>
      <c r="D210" s="149" t="inlineStr"/>
      <c r="E210" s="149" t="inlineStr">
        <is>
          <t>FOLDER</t>
        </is>
      </c>
    </row>
    <row r="211">
      <c r="A211" t="inlineStr">
        <is>
          <t>Project Notos</t>
        </is>
      </c>
      <c r="B211" t="inlineStr">
        <is>
          <t>1.2.1.1.1</t>
        </is>
      </c>
      <c r="C211" t="inlineStr"/>
      <c r="D211" t="inlineStr">
        <is>
          <t>IHE_Commercial Register Excerpt_20260219</t>
        </is>
      </c>
      <c r="E211" t="inlineStr">
        <is>
          <t>DOCUMENT</t>
        </is>
      </c>
    </row>
    <row r="212">
      <c r="A212" s="149" t="inlineStr">
        <is>
          <t>Project Notos</t>
        </is>
      </c>
      <c r="B212" s="149" t="inlineStr">
        <is>
          <t>1.2.1.2</t>
        </is>
      </c>
      <c r="C212" s="149" t="inlineStr">
        <is>
          <t>Articles of association</t>
        </is>
      </c>
      <c r="D212" s="149" t="inlineStr"/>
      <c r="E212" s="149" t="inlineStr">
        <is>
          <t>FOLDER</t>
        </is>
      </c>
    </row>
    <row r="213">
      <c r="A213" t="inlineStr">
        <is>
          <t>Project Notos</t>
        </is>
      </c>
      <c r="B213" t="inlineStr">
        <is>
          <t>1.2.1.2.1</t>
        </is>
      </c>
      <c r="C213" t="inlineStr"/>
      <c r="D213" t="inlineStr">
        <is>
          <t>IHE_Articles of Association_20211211</t>
        </is>
      </c>
      <c r="E213" t="inlineStr">
        <is>
          <t>DOCUMENT</t>
        </is>
      </c>
    </row>
    <row r="214">
      <c r="A214" s="149" t="inlineStr">
        <is>
          <t>Project Notos</t>
        </is>
      </c>
      <c r="B214" s="149" t="inlineStr">
        <is>
          <t>1.2.1.3</t>
        </is>
      </c>
      <c r="C214" s="149" t="inlineStr">
        <is>
          <t>Chain of title</t>
        </is>
      </c>
      <c r="D214" s="149" t="inlineStr"/>
      <c r="E214" s="149" t="inlineStr">
        <is>
          <t>FOLDER</t>
        </is>
      </c>
    </row>
    <row r="215">
      <c r="A215" t="inlineStr">
        <is>
          <t>Project Notos</t>
        </is>
      </c>
      <c r="B215" t="inlineStr">
        <is>
          <t>1.2.1.3.1</t>
        </is>
      </c>
      <c r="C215" t="inlineStr"/>
      <c r="D215" t="inlineStr">
        <is>
          <t>IHE_Share Transfer Agreement_Modine Austria_20051212</t>
        </is>
      </c>
      <c r="E215" t="inlineStr">
        <is>
          <t>DOCUMENT</t>
        </is>
      </c>
    </row>
    <row r="216">
      <c r="A216" s="149" t="inlineStr">
        <is>
          <t>Project Notos</t>
        </is>
      </c>
      <c r="B216" s="149" t="inlineStr">
        <is>
          <t>1.2.1.4</t>
        </is>
      </c>
      <c r="C216" s="149" t="inlineStr">
        <is>
          <t>Company agreements</t>
        </is>
      </c>
      <c r="D216" s="149" t="inlineStr"/>
      <c r="E216" s="149" t="inlineStr">
        <is>
          <t>FOLDER</t>
        </is>
      </c>
    </row>
    <row r="217">
      <c r="A217" t="inlineStr">
        <is>
          <t>Project Notos</t>
        </is>
      </c>
      <c r="B217" t="inlineStr">
        <is>
          <t>1.2.1.4.1</t>
        </is>
      </c>
      <c r="C217" t="inlineStr"/>
      <c r="D217" t="inlineStr">
        <is>
          <t>IHE_group service agreement_241230</t>
        </is>
      </c>
      <c r="E217" t="inlineStr">
        <is>
          <t>DOCUMENT</t>
        </is>
      </c>
    </row>
    <row r="218">
      <c r="A218" t="inlineStr">
        <is>
          <t>Project Notos</t>
        </is>
      </c>
      <c r="B218" t="inlineStr">
        <is>
          <t>1.2.1.4.2</t>
        </is>
      </c>
      <c r="C218" t="inlineStr"/>
      <c r="D218" t="inlineStr">
        <is>
          <t>IHE_waiver of claims RF_251231</t>
        </is>
      </c>
      <c r="E218" t="inlineStr">
        <is>
          <t>DOCUMENT</t>
        </is>
      </c>
    </row>
    <row r="219">
      <c r="A219" s="149" t="inlineStr">
        <is>
          <t>Project Notos</t>
        </is>
      </c>
      <c r="B219" s="149" t="inlineStr">
        <is>
          <t>1.2.1.4.3</t>
        </is>
      </c>
      <c r="C219" s="149" t="inlineStr">
        <is>
          <t>ITT</t>
        </is>
      </c>
      <c r="D219" s="149" t="inlineStr"/>
      <c r="E219" s="149" t="inlineStr">
        <is>
          <t>FOLDER</t>
        </is>
      </c>
    </row>
    <row r="220">
      <c r="A220" t="inlineStr">
        <is>
          <t>Project Notos</t>
        </is>
      </c>
      <c r="B220" t="inlineStr">
        <is>
          <t>1.2.1.4.3.1</t>
        </is>
      </c>
      <c r="C220" t="inlineStr"/>
      <c r="D220" t="inlineStr">
        <is>
          <t>IHE_IC service agreement estra_240801</t>
        </is>
      </c>
      <c r="E220" t="inlineStr">
        <is>
          <t>DOCUMENT</t>
        </is>
      </c>
    </row>
    <row r="221">
      <c r="A221" t="inlineStr">
        <is>
          <t>Project Notos</t>
        </is>
      </c>
      <c r="B221" t="inlineStr">
        <is>
          <t>1.2.1.4.3.2</t>
        </is>
      </c>
      <c r="C221" t="inlineStr"/>
      <c r="D221" t="inlineStr">
        <is>
          <t>IHE_IC restructuring agreement estra_240919</t>
        </is>
      </c>
      <c r="E221" t="inlineStr">
        <is>
          <t>DOCUMENT</t>
        </is>
      </c>
    </row>
    <row r="222">
      <c r="A222" t="inlineStr">
        <is>
          <t>Project Notos</t>
        </is>
      </c>
      <c r="B222" t="inlineStr">
        <is>
          <t>1.2.1.4.3.3</t>
        </is>
      </c>
      <c r="C222" t="inlineStr"/>
      <c r="D222" t="inlineStr">
        <is>
          <t>IHE_debt assumption estra_250228</t>
        </is>
      </c>
      <c r="E222" t="inlineStr">
        <is>
          <t>DOCUMENT</t>
        </is>
      </c>
    </row>
    <row r="223">
      <c r="A223" s="149" t="inlineStr">
        <is>
          <t>Project Notos</t>
        </is>
      </c>
      <c r="B223" s="149" t="inlineStr">
        <is>
          <t>1.2.1.5</t>
        </is>
      </c>
      <c r="C223" s="149" t="inlineStr">
        <is>
          <t>Miscellaneous</t>
        </is>
      </c>
      <c r="D223" s="149" t="inlineStr"/>
      <c r="E223" s="149" t="inlineStr">
        <is>
          <t>FOLDER</t>
        </is>
      </c>
    </row>
    <row r="224">
      <c r="A224" t="inlineStr">
        <is>
          <t>Project Notos</t>
        </is>
      </c>
      <c r="B224" t="inlineStr">
        <is>
          <t>1.2.1.5.1</t>
        </is>
      </c>
      <c r="C224" t="inlineStr"/>
      <c r="D224" t="inlineStr">
        <is>
          <t>IHE_Austrian Trade Register Extract_20260309</t>
        </is>
      </c>
      <c r="E224" t="inlineStr">
        <is>
          <t>DOCUMENT</t>
        </is>
      </c>
    </row>
    <row r="225">
      <c r="A225" t="inlineStr">
        <is>
          <t>Project Notos</t>
        </is>
      </c>
      <c r="B225" t="inlineStr">
        <is>
          <t>1.2.1.5.2</t>
        </is>
      </c>
      <c r="C225" t="inlineStr"/>
      <c r="D225" t="inlineStr">
        <is>
          <t>IHE_RoP supervisory board _210907</t>
        </is>
      </c>
      <c r="E225" t="inlineStr">
        <is>
          <t>DOCUMENT</t>
        </is>
      </c>
    </row>
    <row r="226">
      <c r="A226" t="inlineStr">
        <is>
          <t>Project Notos</t>
        </is>
      </c>
      <c r="B226" t="inlineStr">
        <is>
          <t>1.2.1.5.3</t>
        </is>
      </c>
      <c r="C226" t="inlineStr"/>
      <c r="D226" t="inlineStr">
        <is>
          <t>IHE_business license_260302</t>
        </is>
      </c>
      <c r="E226" t="inlineStr">
        <is>
          <t>DOCUMENT</t>
        </is>
      </c>
    </row>
    <row r="227">
      <c r="A227" t="inlineStr">
        <is>
          <t>Project Notos</t>
        </is>
      </c>
      <c r="B227" t="inlineStr">
        <is>
          <t>1.2.1.5.4</t>
        </is>
      </c>
      <c r="C227" t="inlineStr"/>
      <c r="D227" t="inlineStr">
        <is>
          <t>IHE_business license_260302</t>
        </is>
      </c>
      <c r="E227" t="inlineStr">
        <is>
          <t>DOCUMENT</t>
        </is>
      </c>
    </row>
    <row r="228">
      <c r="A228" s="149" t="inlineStr">
        <is>
          <t>Project Notos</t>
        </is>
      </c>
      <c r="B228" s="149" t="inlineStr">
        <is>
          <t>1.2.1.6</t>
        </is>
      </c>
      <c r="C228" s="149" t="inlineStr">
        <is>
          <t>Shareholder resolutions</t>
        </is>
      </c>
      <c r="D228" s="149" t="inlineStr"/>
      <c r="E228" s="149" t="inlineStr">
        <is>
          <t>FOLDER</t>
        </is>
      </c>
    </row>
    <row r="229">
      <c r="A229" t="inlineStr">
        <is>
          <t>Project Notos</t>
        </is>
      </c>
      <c r="B229" t="inlineStr">
        <is>
          <t>1.2.1.6.1</t>
        </is>
      </c>
      <c r="C229" t="inlineStr"/>
      <c r="D229" t="inlineStr">
        <is>
          <t>IHE_SR_171213</t>
        </is>
      </c>
      <c r="E229" t="inlineStr">
        <is>
          <t>DOCUMENT</t>
        </is>
      </c>
    </row>
    <row r="230">
      <c r="A230" t="inlineStr">
        <is>
          <t>Project Notos</t>
        </is>
      </c>
      <c r="B230" t="inlineStr">
        <is>
          <t>1.2.1.6.2</t>
        </is>
      </c>
      <c r="C230" t="inlineStr"/>
      <c r="D230" t="inlineStr">
        <is>
          <t>IHE_SR_231215</t>
        </is>
      </c>
      <c r="E230" t="inlineStr">
        <is>
          <t>DOCUMENT</t>
        </is>
      </c>
    </row>
    <row r="231">
      <c r="A231" t="inlineStr">
        <is>
          <t>Project Notos</t>
        </is>
      </c>
      <c r="B231" t="inlineStr">
        <is>
          <t>1.2.1.6.3</t>
        </is>
      </c>
      <c r="C231" t="inlineStr"/>
      <c r="D231" t="inlineStr">
        <is>
          <t>IHE_Shareholders Resolution_20230511</t>
        </is>
      </c>
      <c r="E231" t="inlineStr">
        <is>
          <t>DOCUMENT</t>
        </is>
      </c>
    </row>
    <row r="232">
      <c r="A232" t="inlineStr">
        <is>
          <t>Project Notos</t>
        </is>
      </c>
      <c r="B232" t="inlineStr">
        <is>
          <t>1.2.1.6.4</t>
        </is>
      </c>
      <c r="C232" t="inlineStr"/>
      <c r="D232" t="inlineStr">
        <is>
          <t>IHE_Shareholders Resolution_20250830</t>
        </is>
      </c>
      <c r="E232" t="inlineStr">
        <is>
          <t>DOCUMENT</t>
        </is>
      </c>
    </row>
    <row r="233">
      <c r="A233" t="inlineStr">
        <is>
          <t>Project Notos</t>
        </is>
      </c>
      <c r="B233" t="inlineStr">
        <is>
          <t>1.2.1.6.5</t>
        </is>
      </c>
      <c r="C233" t="inlineStr"/>
      <c r="D233" t="inlineStr">
        <is>
          <t>220422_Gesellschafterbeschluss_2021</t>
        </is>
      </c>
      <c r="E233" t="inlineStr">
        <is>
          <t>DOCUMENT</t>
        </is>
      </c>
    </row>
    <row r="234">
      <c r="A234" t="inlineStr">
        <is>
          <t>Project Notos</t>
        </is>
      </c>
      <c r="B234" t="inlineStr">
        <is>
          <t>1.2.1.6.6</t>
        </is>
      </c>
      <c r="C234" t="inlineStr"/>
      <c r="D234" t="inlineStr">
        <is>
          <t>250521_Gesellschafterbeschluss_2024</t>
        </is>
      </c>
      <c r="E234" t="inlineStr">
        <is>
          <t>DOCUMENT</t>
        </is>
      </c>
    </row>
    <row r="235">
      <c r="A235" t="inlineStr">
        <is>
          <t>Project Notos</t>
        </is>
      </c>
      <c r="B235" t="inlineStr">
        <is>
          <t>1.2.1.6.7</t>
        </is>
      </c>
      <c r="C235" t="inlineStr"/>
      <c r="D235" t="inlineStr">
        <is>
          <t>230427_Gesellschafterbeschluss_2022</t>
        </is>
      </c>
      <c r="E235" t="inlineStr">
        <is>
          <t>DOCUMENT</t>
        </is>
      </c>
    </row>
    <row r="236">
      <c r="A236" t="inlineStr">
        <is>
          <t>Project Notos</t>
        </is>
      </c>
      <c r="B236" t="inlineStr">
        <is>
          <t>1.2.1.6.8</t>
        </is>
      </c>
      <c r="C236" t="inlineStr"/>
      <c r="D236" t="inlineStr">
        <is>
          <t>240131_Gesellschafterbeschluss_2023</t>
        </is>
      </c>
      <c r="E236" t="inlineStr">
        <is>
          <t>DOCUMENT</t>
        </is>
      </c>
    </row>
    <row r="237">
      <c r="A237" s="149" t="inlineStr">
        <is>
          <t>Project Notos</t>
        </is>
      </c>
      <c r="B237" s="149" t="inlineStr">
        <is>
          <t>1.2.2</t>
        </is>
      </c>
      <c r="C237" s="149" t="inlineStr">
        <is>
          <t>Commercial</t>
        </is>
      </c>
      <c r="D237" s="149" t="inlineStr"/>
      <c r="E237" s="149" t="inlineStr">
        <is>
          <t>FOLDER</t>
        </is>
      </c>
    </row>
    <row r="238">
      <c r="A238" s="149" t="inlineStr">
        <is>
          <t>Project Notos</t>
        </is>
      </c>
      <c r="B238" s="149" t="inlineStr">
        <is>
          <t>1.2.2.1</t>
        </is>
      </c>
      <c r="C238" s="149" t="inlineStr">
        <is>
          <t>General Terms and Conditions</t>
        </is>
      </c>
      <c r="D238" s="149" t="inlineStr"/>
      <c r="E238" s="149" t="inlineStr">
        <is>
          <t>FOLDER</t>
        </is>
      </c>
    </row>
    <row r="239">
      <c r="A239" t="inlineStr">
        <is>
          <t>Project Notos</t>
        </is>
      </c>
      <c r="B239" t="inlineStr">
        <is>
          <t>1.2.2.1.1</t>
        </is>
      </c>
      <c r="C239" t="inlineStr"/>
      <c r="D239" t="inlineStr">
        <is>
          <t>IHE_gerneral purchase conditions EN_</t>
        </is>
      </c>
      <c r="E239" t="inlineStr">
        <is>
          <t>DOCUMENT</t>
        </is>
      </c>
    </row>
    <row r="240">
      <c r="A240" t="inlineStr">
        <is>
          <t>Project Notos</t>
        </is>
      </c>
      <c r="B240" t="inlineStr">
        <is>
          <t>1.2.2.1.2</t>
        </is>
      </c>
      <c r="C240" t="inlineStr"/>
      <c r="D240" t="inlineStr">
        <is>
          <t>IHE_global supplier manual_</t>
        </is>
      </c>
      <c r="E240" t="inlineStr">
        <is>
          <t>DOCUMENT</t>
        </is>
      </c>
    </row>
    <row r="241">
      <c r="A241" t="inlineStr">
        <is>
          <t>Project Notos</t>
        </is>
      </c>
      <c r="B241" t="inlineStr">
        <is>
          <t>1.2.2.1.3</t>
        </is>
      </c>
      <c r="C241" t="inlineStr"/>
      <c r="D241" t="inlineStr">
        <is>
          <t>IHE_gerneral purchase conditions DE_</t>
        </is>
      </c>
      <c r="E241" t="inlineStr">
        <is>
          <t>DOCUMENT</t>
        </is>
      </c>
    </row>
    <row r="242">
      <c r="A242" s="149" t="inlineStr">
        <is>
          <t>Project Notos</t>
        </is>
      </c>
      <c r="B242" s="149" t="inlineStr">
        <is>
          <t>1.2.3</t>
        </is>
      </c>
      <c r="C242" s="149" t="inlineStr">
        <is>
          <t>Financing</t>
        </is>
      </c>
      <c r="D242" s="149" t="inlineStr"/>
      <c r="E242" s="149" t="inlineStr">
        <is>
          <t>FOLDER</t>
        </is>
      </c>
    </row>
    <row r="243">
      <c r="A243" s="149" t="inlineStr">
        <is>
          <t>Project Notos</t>
        </is>
      </c>
      <c r="B243" s="149" t="inlineStr">
        <is>
          <t>1.2.3.1</t>
        </is>
      </c>
      <c r="C243" s="149" t="inlineStr">
        <is>
          <t>Customer F</t>
        </is>
      </c>
      <c r="D243" s="149" t="inlineStr"/>
      <c r="E243" s="149" t="inlineStr">
        <is>
          <t>FOLDER</t>
        </is>
      </c>
    </row>
    <row r="244">
      <c r="A244" t="inlineStr">
        <is>
          <t>Project Notos</t>
        </is>
      </c>
      <c r="B244" t="inlineStr">
        <is>
          <t>1.2.3.1.1</t>
        </is>
      </c>
      <c r="C244" t="inlineStr"/>
      <c r="D244" t="inlineStr">
        <is>
          <t>IHE_loan agreement from Customer F_210331</t>
        </is>
      </c>
      <c r="E244" t="inlineStr">
        <is>
          <t>DOCUMENT</t>
        </is>
      </c>
    </row>
    <row r="245">
      <c r="A245" t="inlineStr">
        <is>
          <t>Project Notos</t>
        </is>
      </c>
      <c r="B245" t="inlineStr">
        <is>
          <t>1.2.3.1.2</t>
        </is>
      </c>
      <c r="C245" t="inlineStr"/>
      <c r="D245" t="inlineStr">
        <is>
          <t>IHE_amendment loan agreement Customer F_260327</t>
        </is>
      </c>
      <c r="E245" t="inlineStr">
        <is>
          <t>DOCUMENT</t>
        </is>
      </c>
    </row>
    <row r="246">
      <c r="A246" s="149" t="inlineStr">
        <is>
          <t>Project Notos</t>
        </is>
      </c>
      <c r="B246" s="149" t="inlineStr">
        <is>
          <t>1.2.3.2</t>
        </is>
      </c>
      <c r="C246" s="149" t="inlineStr">
        <is>
          <t>Factoring</t>
        </is>
      </c>
      <c r="D246" s="149" t="inlineStr"/>
      <c r="E246" s="149" t="inlineStr">
        <is>
          <t>FOLDER</t>
        </is>
      </c>
    </row>
    <row r="247">
      <c r="A247" t="inlineStr">
        <is>
          <t>Project Notos</t>
        </is>
      </c>
      <c r="B247" t="inlineStr">
        <is>
          <t>1.2.3.2.1</t>
        </is>
      </c>
      <c r="C247" t="inlineStr"/>
      <c r="D247" t="inlineStr">
        <is>
          <t>IHE_Factoring Raiffeisen Factor Bank_21.05.2025</t>
        </is>
      </c>
      <c r="E247" t="inlineStr">
        <is>
          <t>DOCUMENT</t>
        </is>
      </c>
    </row>
    <row r="248">
      <c r="A248" s="149" t="inlineStr">
        <is>
          <t>Project Notos</t>
        </is>
      </c>
      <c r="B248" s="149" t="inlineStr">
        <is>
          <t>1.2.3.3</t>
        </is>
      </c>
      <c r="C248" s="149" t="inlineStr">
        <is>
          <t>IC loans</t>
        </is>
      </c>
      <c r="D248" s="149" t="inlineStr"/>
      <c r="E248" s="149" t="inlineStr">
        <is>
          <t>FOLDER</t>
        </is>
      </c>
    </row>
    <row r="249">
      <c r="A249" t="inlineStr">
        <is>
          <t>Project Notos</t>
        </is>
      </c>
      <c r="B249" t="inlineStr">
        <is>
          <t>1.2.3.3.1</t>
        </is>
      </c>
      <c r="C249" t="inlineStr"/>
      <c r="D249" t="inlineStr">
        <is>
          <t>IHE_loan agreement to RF (insolvency)</t>
        </is>
      </c>
      <c r="E249" t="inlineStr">
        <is>
          <t>DOCUMENT</t>
        </is>
      </c>
    </row>
    <row r="250">
      <c r="A250" t="inlineStr">
        <is>
          <t>Project Notos</t>
        </is>
      </c>
      <c r="B250" t="inlineStr">
        <is>
          <t>1.2.3.3.2</t>
        </is>
      </c>
      <c r="C250" t="inlineStr"/>
      <c r="D250" t="inlineStr">
        <is>
          <t>IHE_loan agreement from FT_260114</t>
        </is>
      </c>
      <c r="E250" t="inlineStr">
        <is>
          <t>DOCUMENT</t>
        </is>
      </c>
    </row>
    <row r="251">
      <c r="A251" s="149" t="inlineStr">
        <is>
          <t>Project Notos</t>
        </is>
      </c>
      <c r="B251" s="149" t="inlineStr">
        <is>
          <t>1.2.3.4</t>
        </is>
      </c>
      <c r="C251" s="149" t="inlineStr">
        <is>
          <t>Shareholder Loans</t>
        </is>
      </c>
      <c r="D251" s="149" t="inlineStr"/>
      <c r="E251" s="149" t="inlineStr">
        <is>
          <t>FOLDER</t>
        </is>
      </c>
    </row>
    <row r="252">
      <c r="A252" t="inlineStr">
        <is>
          <t>Project Notos</t>
        </is>
      </c>
      <c r="B252" t="inlineStr">
        <is>
          <t>1.2.3.4.1</t>
        </is>
      </c>
      <c r="C252" t="inlineStr"/>
      <c r="D252" t="inlineStr">
        <is>
          <t>IHE_Shareholder Loan Pöttinger _Verlängerung_ 500.000 €</t>
        </is>
      </c>
      <c r="E252" t="inlineStr">
        <is>
          <t>DOCUMENT</t>
        </is>
      </c>
    </row>
    <row r="253">
      <c r="A253" s="149" t="inlineStr">
        <is>
          <t>Project Notos</t>
        </is>
      </c>
      <c r="B253" s="149" t="inlineStr">
        <is>
          <t>1.2.4</t>
        </is>
      </c>
      <c r="C253" s="149" t="inlineStr">
        <is>
          <t>Employment</t>
        </is>
      </c>
      <c r="D253" s="149" t="inlineStr"/>
      <c r="E253" s="149" t="inlineStr">
        <is>
          <t>FOLDER</t>
        </is>
      </c>
    </row>
    <row r="254">
      <c r="A254" s="149" t="inlineStr">
        <is>
          <t>Project Notos</t>
        </is>
      </c>
      <c r="B254" s="149" t="inlineStr">
        <is>
          <t>1.2.4.1</t>
        </is>
      </c>
      <c r="C254" s="149" t="inlineStr">
        <is>
          <t>Sample employment contracts</t>
        </is>
      </c>
      <c r="D254" s="149" t="inlineStr"/>
      <c r="E254" s="149" t="inlineStr">
        <is>
          <t>FOLDER</t>
        </is>
      </c>
    </row>
    <row r="255">
      <c r="A255" t="inlineStr">
        <is>
          <t>Project Notos</t>
        </is>
      </c>
      <c r="B255" t="inlineStr">
        <is>
          <t>1.2.4.1.1</t>
        </is>
      </c>
      <c r="C255" t="inlineStr"/>
      <c r="D255" t="inlineStr">
        <is>
          <t>IHE_01 2026-03 GLZ-gesetzl</t>
        </is>
      </c>
      <c r="E255" t="inlineStr">
        <is>
          <t>DOCUMENT</t>
        </is>
      </c>
    </row>
    <row r="256">
      <c r="A256" t="inlineStr">
        <is>
          <t>Project Notos</t>
        </is>
      </c>
      <c r="B256" t="inlineStr">
        <is>
          <t>1.2.4.1.2</t>
        </is>
      </c>
      <c r="C256" t="inlineStr"/>
      <c r="D256" t="inlineStr">
        <is>
          <t>IHE_01 2026-03 All-in_HO_2MBO_3mo</t>
        </is>
      </c>
      <c r="E256" t="inlineStr">
        <is>
          <t>DOCUMENT</t>
        </is>
      </c>
    </row>
    <row r="257">
      <c r="A257" t="inlineStr">
        <is>
          <t>Project Notos</t>
        </is>
      </c>
      <c r="B257" t="inlineStr">
        <is>
          <t>1.2.4.1.3</t>
        </is>
      </c>
      <c r="C257" t="inlineStr"/>
      <c r="D257" t="inlineStr">
        <is>
          <t>IHE_01 2026-03 All-In_kein MBO_gesetzl</t>
        </is>
      </c>
      <c r="E257" t="inlineStr">
        <is>
          <t>DOCUMENT</t>
        </is>
      </c>
    </row>
    <row r="258">
      <c r="A258" t="inlineStr">
        <is>
          <t>Project Notos</t>
        </is>
      </c>
      <c r="B258" t="inlineStr">
        <is>
          <t>1.2.4.1.4</t>
        </is>
      </c>
      <c r="C258" t="inlineStr"/>
      <c r="D258" t="inlineStr">
        <is>
          <t>IHE_01_Dienstvertrag Arbeiter Schichtarbeit Vorlage</t>
        </is>
      </c>
      <c r="E258" t="inlineStr">
        <is>
          <t>DOCUMENT</t>
        </is>
      </c>
    </row>
    <row r="259">
      <c r="A259" s="149" t="inlineStr">
        <is>
          <t>Project Notos</t>
        </is>
      </c>
      <c r="B259" s="149" t="inlineStr">
        <is>
          <t>1.2.4.2</t>
        </is>
      </c>
      <c r="C259" s="149" t="inlineStr">
        <is>
          <t>Works agreements</t>
        </is>
      </c>
      <c r="D259" s="149" t="inlineStr"/>
      <c r="E259" s="149" t="inlineStr">
        <is>
          <t>FOLDER</t>
        </is>
      </c>
    </row>
    <row r="260">
      <c r="A260" t="inlineStr">
        <is>
          <t>Project Notos</t>
        </is>
      </c>
      <c r="B260" t="inlineStr">
        <is>
          <t>1.2.4.2.1</t>
        </is>
      </c>
      <c r="C260" t="inlineStr"/>
      <c r="D260" t="inlineStr">
        <is>
          <t>IHE_Anwendung Freizeitoption aufgrund KV-Verhandlung 1.11.2015_2016-03</t>
        </is>
      </c>
      <c r="E260" t="inlineStr">
        <is>
          <t>DOCUMENT</t>
        </is>
      </c>
    </row>
    <row r="261">
      <c r="A261" t="inlineStr">
        <is>
          <t>Project Notos</t>
        </is>
      </c>
      <c r="B261" t="inlineStr">
        <is>
          <t>1.2.4.2.2</t>
        </is>
      </c>
      <c r="C261" t="inlineStr"/>
      <c r="D261" t="inlineStr">
        <is>
          <t xml:space="preserve">IHE_Angst GLFAZ_Techniker_2016-03-07 </t>
        </is>
      </c>
      <c r="E261" t="inlineStr">
        <is>
          <t>DOCUMENT</t>
        </is>
      </c>
    </row>
    <row r="262">
      <c r="A262" t="inlineStr">
        <is>
          <t>Project Notos</t>
        </is>
      </c>
      <c r="B262" t="inlineStr">
        <is>
          <t>1.2.4.2.3</t>
        </is>
      </c>
      <c r="C262" t="inlineStr"/>
      <c r="D262" t="inlineStr">
        <is>
          <t>IHE_Angst GLFAZ Techniker_2024-11-21</t>
        </is>
      </c>
      <c r="E262" t="inlineStr">
        <is>
          <t>DOCUMENT</t>
        </is>
      </c>
    </row>
    <row r="263">
      <c r="A263" t="inlineStr">
        <is>
          <t>Project Notos</t>
        </is>
      </c>
      <c r="B263" t="inlineStr">
        <is>
          <t>1.2.4.2.4</t>
        </is>
      </c>
      <c r="C263" t="inlineStr"/>
      <c r="D263" t="inlineStr">
        <is>
          <t>IHE_Angst GLAZ ADMIN_2024-11-22</t>
        </is>
      </c>
      <c r="E263" t="inlineStr">
        <is>
          <t>DOCUMENT</t>
        </is>
      </c>
    </row>
    <row r="264">
      <c r="A264" t="inlineStr">
        <is>
          <t>Project Notos</t>
        </is>
      </c>
      <c r="B264" t="inlineStr">
        <is>
          <t>1.2.4.2.5</t>
        </is>
      </c>
      <c r="C264" t="inlineStr"/>
      <c r="D264" t="inlineStr">
        <is>
          <t>IHE_Arbeiter Anwendung der Freizeitoption gem. KV Fahrzeugind. vom 1.11.2014__1.4.2015 - unbefristet</t>
        </is>
      </c>
      <c r="E264" t="inlineStr">
        <is>
          <t>DOCUMENT</t>
        </is>
      </c>
    </row>
    <row r="265">
      <c r="A265" t="inlineStr">
        <is>
          <t>Project Notos</t>
        </is>
      </c>
      <c r="B265" t="inlineStr">
        <is>
          <t>1.2.4.2.6</t>
        </is>
      </c>
      <c r="C265" t="inlineStr"/>
      <c r="D265" t="inlineStr">
        <is>
          <t>IHE_Arbeiter Ergänzung über abweichendes Urlaubsjahr__1.1.14 - unbefristet</t>
        </is>
      </c>
      <c r="E265" t="inlineStr">
        <is>
          <t>DOCUMENT</t>
        </is>
      </c>
    </row>
    <row r="266">
      <c r="A266" t="inlineStr">
        <is>
          <t>Project Notos</t>
        </is>
      </c>
      <c r="B266" t="inlineStr">
        <is>
          <t>1.2.4.2.7</t>
        </is>
      </c>
      <c r="C266" t="inlineStr"/>
      <c r="D266" t="inlineStr">
        <is>
          <t>IHE_Einarbeiten 13. + 14. August</t>
        </is>
      </c>
      <c r="E266" t="inlineStr">
        <is>
          <t>DOCUMENT</t>
        </is>
      </c>
    </row>
    <row r="267">
      <c r="A267" t="inlineStr">
        <is>
          <t>Project Notos</t>
        </is>
      </c>
      <c r="B267" t="inlineStr">
        <is>
          <t>1.2.4.2.8</t>
        </is>
      </c>
      <c r="C267" t="inlineStr"/>
      <c r="D267" t="inlineStr">
        <is>
          <t>IHE_Einarbeiten 17. Juni + 31. Oktober 2022</t>
        </is>
      </c>
      <c r="E267" t="inlineStr">
        <is>
          <t>DOCUMENT</t>
        </is>
      </c>
    </row>
    <row r="268">
      <c r="A268" t="inlineStr">
        <is>
          <t>Project Notos</t>
        </is>
      </c>
      <c r="B268" t="inlineStr">
        <is>
          <t>1.2.4.2.9</t>
        </is>
      </c>
      <c r="C268" t="inlineStr"/>
      <c r="D268" t="inlineStr">
        <is>
          <t>IHE_Einarbeiten Fenstertag 27.05.2022</t>
        </is>
      </c>
      <c r="E268" t="inlineStr">
        <is>
          <t>DOCUMENT</t>
        </is>
      </c>
    </row>
    <row r="269">
      <c r="A269" t="inlineStr">
        <is>
          <t>Project Notos</t>
        </is>
      </c>
      <c r="B269" t="inlineStr">
        <is>
          <t>1.2.4.2.10</t>
        </is>
      </c>
      <c r="C269" t="inlineStr"/>
      <c r="D269" t="inlineStr">
        <is>
          <t>IHE_Hausordnung__1.8.2010 - unbefristet</t>
        </is>
      </c>
      <c r="E269" t="inlineStr">
        <is>
          <t>DOCUMENT</t>
        </is>
      </c>
    </row>
    <row r="270">
      <c r="A270" t="inlineStr">
        <is>
          <t>Project Notos</t>
        </is>
      </c>
      <c r="B270" t="inlineStr">
        <is>
          <t>1.2.4.2.11</t>
        </is>
      </c>
      <c r="C270" t="inlineStr"/>
      <c r="D270" t="inlineStr">
        <is>
          <t>IHE_Leiharbeiter2007_lfd_gültig</t>
        </is>
      </c>
      <c r="E270" t="inlineStr">
        <is>
          <t>DOCUMENT</t>
        </is>
      </c>
    </row>
    <row r="271">
      <c r="A271" t="inlineStr">
        <is>
          <t>Project Notos</t>
        </is>
      </c>
      <c r="B271" t="inlineStr">
        <is>
          <t>1.2.4.2.12</t>
        </is>
      </c>
      <c r="C271" t="inlineStr"/>
      <c r="D271" t="inlineStr">
        <is>
          <t>IHE_Schichtzeiten neu__1.4.2013 - unbefristet</t>
        </is>
      </c>
      <c r="E271" t="inlineStr">
        <is>
          <t>DOCUMENT</t>
        </is>
      </c>
    </row>
    <row r="272">
      <c r="A272" t="inlineStr">
        <is>
          <t>Project Notos</t>
        </is>
      </c>
      <c r="B272" t="inlineStr">
        <is>
          <t>1.2.4.2.13</t>
        </is>
      </c>
      <c r="C272" t="inlineStr"/>
      <c r="D272" t="inlineStr">
        <is>
          <t>IHE_SEG-Zulagen__1.4.2014 - unbefristet</t>
        </is>
      </c>
      <c r="E272" t="inlineStr">
        <is>
          <t>DOCUMENT</t>
        </is>
      </c>
    </row>
    <row r="273">
      <c r="A273" t="inlineStr">
        <is>
          <t>Project Notos</t>
        </is>
      </c>
      <c r="B273" t="inlineStr">
        <is>
          <t>1.2.4.2.14</t>
        </is>
      </c>
      <c r="C273" t="inlineStr"/>
      <c r="D273" t="inlineStr">
        <is>
          <t>IHE_Unterschrieben BV Umwandlung KKSP</t>
        </is>
      </c>
      <c r="E273" t="inlineStr">
        <is>
          <t>DOCUMENT</t>
        </is>
      </c>
    </row>
    <row r="274">
      <c r="A274" t="inlineStr">
        <is>
          <t>Project Notos</t>
        </is>
      </c>
      <c r="B274" t="inlineStr">
        <is>
          <t>1.2.4.2.15</t>
        </is>
      </c>
      <c r="C274" t="inlineStr"/>
      <c r="D274" t="inlineStr">
        <is>
          <t>IHE_BV zum Interessenausgleich 2024</t>
        </is>
      </c>
      <c r="E274" t="inlineStr">
        <is>
          <t>DOCUMENT</t>
        </is>
      </c>
    </row>
    <row r="275">
      <c r="A275" t="inlineStr">
        <is>
          <t>Project Notos</t>
        </is>
      </c>
      <c r="B275" t="inlineStr">
        <is>
          <t>1.2.4.2.16</t>
        </is>
      </c>
      <c r="C275" t="inlineStr"/>
      <c r="D275" t="inlineStr">
        <is>
          <t>IHE_BV zum Interessensausgleich 2023</t>
        </is>
      </c>
      <c r="E275" t="inlineStr">
        <is>
          <t>DOCUMENT</t>
        </is>
      </c>
    </row>
    <row r="276">
      <c r="A276" t="inlineStr">
        <is>
          <t>Project Notos</t>
        </is>
      </c>
      <c r="B276" t="inlineStr">
        <is>
          <t>1.2.4.2.17</t>
        </is>
      </c>
      <c r="C276" t="inlineStr"/>
      <c r="D276" t="inlineStr">
        <is>
          <t>IHE_EV zum Interessensausgleich 2025</t>
        </is>
      </c>
      <c r="E276" t="inlineStr">
        <is>
          <t>DOCUMENT</t>
        </is>
      </c>
    </row>
    <row r="277">
      <c r="A277" t="inlineStr">
        <is>
          <t>Project Notos</t>
        </is>
      </c>
      <c r="B277" t="inlineStr">
        <is>
          <t>1.2.4.2.18</t>
        </is>
      </c>
      <c r="C277" t="inlineStr"/>
      <c r="D277" t="inlineStr">
        <is>
          <t>IHE_Sozialplan 2021</t>
        </is>
      </c>
      <c r="E277" t="inlineStr">
        <is>
          <t>DOCUMENT</t>
        </is>
      </c>
    </row>
    <row r="278">
      <c r="A278" t="inlineStr">
        <is>
          <t>Project Notos</t>
        </is>
      </c>
      <c r="B278" t="inlineStr">
        <is>
          <t>1.2.4.3</t>
        </is>
      </c>
      <c r="C278" t="inlineStr"/>
      <c r="D278" t="inlineStr">
        <is>
          <t>IHE Allianz Mitarbeitervorsorge _11.12.2002</t>
        </is>
      </c>
      <c r="E278" t="inlineStr">
        <is>
          <t>DOCUMENT</t>
        </is>
      </c>
    </row>
    <row r="279">
      <c r="A279" t="inlineStr">
        <is>
          <t>Project Notos</t>
        </is>
      </c>
      <c r="B279" t="inlineStr">
        <is>
          <t>1.2.4.4</t>
        </is>
      </c>
      <c r="C279" t="inlineStr"/>
      <c r="D279" t="inlineStr">
        <is>
          <t>IHE_MBO Vereinbarung_Passage Arbeitsvertrag</t>
        </is>
      </c>
      <c r="E279" t="inlineStr">
        <is>
          <t>DOCUMENT</t>
        </is>
      </c>
    </row>
    <row r="280">
      <c r="A280" s="149" t="inlineStr">
        <is>
          <t>Project Notos</t>
        </is>
      </c>
      <c r="B280" s="149" t="inlineStr">
        <is>
          <t>1.2.4.5</t>
        </is>
      </c>
      <c r="C280" s="149" t="inlineStr">
        <is>
          <t>List of personnel</t>
        </is>
      </c>
      <c r="D280" s="149" t="inlineStr"/>
      <c r="E280" s="149" t="inlineStr">
        <is>
          <t>FOLDER</t>
        </is>
      </c>
    </row>
    <row r="281">
      <c r="A281" s="3" t="inlineStr">
        <is>
          <t>Project Notos</t>
        </is>
      </c>
      <c r="B281" s="3" t="inlineStr">
        <is>
          <t>1.2.4.5.1</t>
        </is>
      </c>
      <c r="C281" s="3" t="inlineStr"/>
      <c r="D281" s="3" t="inlineStr">
        <is>
          <t>To come</t>
        </is>
      </c>
      <c r="E281" s="3" t="inlineStr">
        <is>
          <t>PLACEHOLDER</t>
        </is>
      </c>
    </row>
    <row r="282">
      <c r="A282" s="149" t="inlineStr">
        <is>
          <t>Project Notos</t>
        </is>
      </c>
      <c r="B282" s="149" t="inlineStr">
        <is>
          <t>1.2.5</t>
        </is>
      </c>
      <c r="C282" s="149" t="inlineStr">
        <is>
          <t>Patents</t>
        </is>
      </c>
      <c r="D282" s="149" t="inlineStr"/>
      <c r="E282" s="149" t="inlineStr">
        <is>
          <t>FOLDER</t>
        </is>
      </c>
    </row>
    <row r="283">
      <c r="A283" t="inlineStr">
        <is>
          <t>Project Notos</t>
        </is>
      </c>
      <c r="B283" t="inlineStr">
        <is>
          <t>1.2.5.1</t>
        </is>
      </c>
      <c r="C283" t="inlineStr"/>
      <c r="D283" t="inlineStr">
        <is>
          <t>IHE_patents</t>
        </is>
      </c>
      <c r="E283" t="inlineStr">
        <is>
          <t>DOCUMENT</t>
        </is>
      </c>
    </row>
    <row r="284">
      <c r="A284" t="inlineStr">
        <is>
          <t>Project Notos</t>
        </is>
      </c>
      <c r="B284" t="inlineStr">
        <is>
          <t>1.2.5.2</t>
        </is>
      </c>
      <c r="C284" t="inlineStr"/>
      <c r="D284" t="inlineStr">
        <is>
          <t>IHE_patent purchase agreement estra_250228</t>
        </is>
      </c>
      <c r="E284" t="inlineStr">
        <is>
          <t>DOCUMENT</t>
        </is>
      </c>
    </row>
    <row r="285">
      <c r="A285" s="149" t="inlineStr">
        <is>
          <t>Project Notos</t>
        </is>
      </c>
      <c r="B285" s="149" t="inlineStr">
        <is>
          <t>1.2.6</t>
        </is>
      </c>
      <c r="C285" s="149" t="inlineStr">
        <is>
          <t>Kottingbrunn plant</t>
        </is>
      </c>
      <c r="D285" s="149" t="inlineStr"/>
      <c r="E285" s="149" t="inlineStr">
        <is>
          <t>FOLDER</t>
        </is>
      </c>
    </row>
    <row r="286">
      <c r="A286" s="149" t="inlineStr">
        <is>
          <t>Project Notos</t>
        </is>
      </c>
      <c r="B286" s="149" t="inlineStr">
        <is>
          <t>1.2.6.1</t>
        </is>
      </c>
      <c r="C286" s="149" t="inlineStr">
        <is>
          <t>Operating permits</t>
        </is>
      </c>
      <c r="D286" s="149" t="inlineStr"/>
      <c r="E286" s="149" t="inlineStr">
        <is>
          <t>FOLDER</t>
        </is>
      </c>
    </row>
    <row r="287">
      <c r="A287" t="inlineStr">
        <is>
          <t>Project Notos</t>
        </is>
      </c>
      <c r="B287" t="inlineStr">
        <is>
          <t>1.2.6.1.1</t>
        </is>
      </c>
      <c r="C287" t="inlineStr"/>
      <c r="D287" t="inlineStr">
        <is>
          <t>IHE_2008_BNW2-BA-08124_001, BO-0866_001, WA-08202_001</t>
        </is>
      </c>
      <c r="E287" t="inlineStr">
        <is>
          <t>DOCUMENT</t>
        </is>
      </c>
    </row>
    <row r="288">
      <c r="A288" t="inlineStr">
        <is>
          <t>Project Notos</t>
        </is>
      </c>
      <c r="B288" t="inlineStr">
        <is>
          <t>1.2.6.1.2</t>
        </is>
      </c>
      <c r="C288" t="inlineStr"/>
      <c r="D288" t="inlineStr">
        <is>
          <t>IHE_2009_BNW2-BA-08124_002, BO-0866_002</t>
        </is>
      </c>
      <c r="E288" t="inlineStr">
        <is>
          <t>DOCUMENT</t>
        </is>
      </c>
    </row>
    <row r="289">
      <c r="A289" t="inlineStr">
        <is>
          <t>Project Notos</t>
        </is>
      </c>
      <c r="B289" t="inlineStr">
        <is>
          <t>1.2.6.1.3</t>
        </is>
      </c>
      <c r="C289" t="inlineStr"/>
      <c r="D289" t="inlineStr">
        <is>
          <t>IHE_2016_ BNW2-BA-08124_006, BO-0866_004</t>
        </is>
      </c>
      <c r="E289" t="inlineStr">
        <is>
          <t>DOCUMENT</t>
        </is>
      </c>
    </row>
    <row r="290">
      <c r="A290" t="inlineStr">
        <is>
          <t>Project Notos</t>
        </is>
      </c>
      <c r="B290" t="inlineStr">
        <is>
          <t>1.2.6.1.4</t>
        </is>
      </c>
      <c r="C290" t="inlineStr"/>
      <c r="D290" t="inlineStr">
        <is>
          <t>IHE_2017_BNW2-BA08124_007, BO-0866_005</t>
        </is>
      </c>
      <c r="E290" t="inlineStr">
        <is>
          <t>DOCUMENT</t>
        </is>
      </c>
    </row>
    <row r="291">
      <c r="A291" t="inlineStr">
        <is>
          <t>Project Notos</t>
        </is>
      </c>
      <c r="B291" t="inlineStr">
        <is>
          <t>1.2.6.1.5</t>
        </is>
      </c>
      <c r="C291" t="inlineStr"/>
      <c r="D291" t="inlineStr">
        <is>
          <t>IHE_Prüfbescheinigung 82b_2025_übergeben250226</t>
        </is>
      </c>
      <c r="E291" t="inlineStr">
        <is>
          <t>DOCUMENT</t>
        </is>
      </c>
    </row>
    <row r="292">
      <c r="A292" s="149" t="inlineStr">
        <is>
          <t>Project Notos</t>
        </is>
      </c>
      <c r="B292" s="149" t="inlineStr">
        <is>
          <t>1.2.6.2</t>
        </is>
      </c>
      <c r="C292" s="149" t="inlineStr">
        <is>
          <t>Rental contract</t>
        </is>
      </c>
      <c r="D292" s="149" t="inlineStr"/>
      <c r="E292" s="149" t="inlineStr">
        <is>
          <t>FOLDER</t>
        </is>
      </c>
    </row>
    <row r="293">
      <c r="A293" s="3" t="inlineStr">
        <is>
          <t>Project Notos</t>
        </is>
      </c>
      <c r="B293" s="3" t="inlineStr">
        <is>
          <t>1.2.6.2.1</t>
        </is>
      </c>
      <c r="C293" s="3" t="inlineStr"/>
      <c r="D293" s="3" t="inlineStr">
        <is>
          <t>Please refer to Innerio Immobilien GmbH (IM) Folder</t>
        </is>
      </c>
      <c r="E293" s="3" t="inlineStr">
        <is>
          <t>PLACEHOLDER</t>
        </is>
      </c>
    </row>
    <row r="294">
      <c r="A294" s="149" t="inlineStr">
        <is>
          <t>Project Notos</t>
        </is>
      </c>
      <c r="B294" s="149" t="inlineStr">
        <is>
          <t>1.2.6.3</t>
        </is>
      </c>
      <c r="C294" s="149" t="inlineStr">
        <is>
          <t>Site analysis 2008</t>
        </is>
      </c>
      <c r="D294" s="149" t="inlineStr"/>
      <c r="E294" s="149" t="inlineStr">
        <is>
          <t>FOLDER</t>
        </is>
      </c>
    </row>
    <row r="295">
      <c r="A295" t="inlineStr">
        <is>
          <t>Project Notos</t>
        </is>
      </c>
      <c r="B295" t="inlineStr">
        <is>
          <t>1.2.6.3.1</t>
        </is>
      </c>
      <c r="C295" t="inlineStr"/>
      <c r="D295" t="inlineStr">
        <is>
          <t>kottingbrunn_site analysis_080811</t>
        </is>
      </c>
      <c r="E295" t="inlineStr">
        <is>
          <t>DOCUMENT</t>
        </is>
      </c>
    </row>
    <row r="296">
      <c r="A296" t="inlineStr">
        <is>
          <t>Project Notos</t>
        </is>
      </c>
      <c r="B296" t="inlineStr">
        <is>
          <t>1.2.6.3.2</t>
        </is>
      </c>
      <c r="C296" t="inlineStr"/>
      <c r="D296" t="inlineStr">
        <is>
          <t>kottingbrunn_site analysis_080812</t>
        </is>
      </c>
      <c r="E296" t="inlineStr">
        <is>
          <t>DOCUMENT</t>
        </is>
      </c>
    </row>
    <row r="297">
      <c r="A297" s="149" t="inlineStr">
        <is>
          <t>Project Notos</t>
        </is>
      </c>
      <c r="B297" s="149" t="inlineStr">
        <is>
          <t>1.2.7</t>
        </is>
      </c>
      <c r="C297" s="149" t="inlineStr">
        <is>
          <t>Insurance</t>
        </is>
      </c>
      <c r="D297" s="149" t="inlineStr"/>
      <c r="E297" s="149" t="inlineStr">
        <is>
          <t>FOLDER</t>
        </is>
      </c>
    </row>
    <row r="298">
      <c r="A298" t="inlineStr">
        <is>
          <t>Project Notos</t>
        </is>
      </c>
      <c r="B298" t="inlineStr">
        <is>
          <t>1.2.7.1</t>
        </is>
      </c>
      <c r="C298" t="inlineStr"/>
      <c r="D298" t="inlineStr">
        <is>
          <t>IHE_insurance HDI_260127</t>
        </is>
      </c>
      <c r="E298" t="inlineStr">
        <is>
          <t>DOCUMENT</t>
        </is>
      </c>
    </row>
    <row r="299">
      <c r="A299" s="149" t="inlineStr">
        <is>
          <t>Project Notos</t>
        </is>
      </c>
      <c r="B299" s="149" t="inlineStr">
        <is>
          <t>1.2.8</t>
        </is>
      </c>
      <c r="C299" s="149" t="inlineStr">
        <is>
          <t>Legal Proceedings</t>
        </is>
      </c>
      <c r="D299" s="149" t="inlineStr"/>
      <c r="E299" s="149" t="inlineStr">
        <is>
          <t>FOLDER</t>
        </is>
      </c>
    </row>
    <row r="300">
      <c r="A300" t="inlineStr">
        <is>
          <t>Project Notos</t>
        </is>
      </c>
      <c r="B300" t="inlineStr">
        <is>
          <t>1.2.8.1</t>
        </is>
      </c>
      <c r="C300" t="inlineStr"/>
      <c r="D300" t="inlineStr">
        <is>
          <t>IHE_court decision work accident_251128</t>
        </is>
      </c>
      <c r="E300" t="inlineStr">
        <is>
          <t>DOCUMENT</t>
        </is>
      </c>
    </row>
    <row r="301">
      <c r="A301" s="149" t="inlineStr">
        <is>
          <t>Project Notos</t>
        </is>
      </c>
      <c r="B301" s="149" t="inlineStr">
        <is>
          <t>1.3</t>
        </is>
      </c>
      <c r="C301" s="149" t="inlineStr">
        <is>
          <t>Rupert Fertinger GmbH (RF)</t>
        </is>
      </c>
      <c r="D301" s="149" t="inlineStr"/>
      <c r="E301" s="149" t="inlineStr">
        <is>
          <t>FOLDER</t>
        </is>
      </c>
    </row>
    <row r="302">
      <c r="A302" s="149" t="inlineStr">
        <is>
          <t>Project Notos</t>
        </is>
      </c>
      <c r="B302" s="149" t="inlineStr">
        <is>
          <t>1.3.1</t>
        </is>
      </c>
      <c r="C302" s="149" t="inlineStr">
        <is>
          <t>Corporate</t>
        </is>
      </c>
      <c r="D302" s="149" t="inlineStr"/>
      <c r="E302" s="149" t="inlineStr">
        <is>
          <t>FOLDER</t>
        </is>
      </c>
    </row>
    <row r="303">
      <c r="A303" s="149" t="inlineStr">
        <is>
          <t>Project Notos</t>
        </is>
      </c>
      <c r="B303" s="149" t="inlineStr">
        <is>
          <t>1.3.1.1</t>
        </is>
      </c>
      <c r="C303" s="149" t="inlineStr">
        <is>
          <t>Company register</t>
        </is>
      </c>
      <c r="D303" s="149" t="inlineStr"/>
      <c r="E303" s="149" t="inlineStr">
        <is>
          <t>FOLDER</t>
        </is>
      </c>
    </row>
    <row r="304">
      <c r="A304" t="inlineStr">
        <is>
          <t>Project Notos</t>
        </is>
      </c>
      <c r="B304" t="inlineStr">
        <is>
          <t>1.3.1.1.1</t>
        </is>
      </c>
      <c r="C304" t="inlineStr"/>
      <c r="D304" t="inlineStr">
        <is>
          <t>RF_commercial register excerpt_20260216</t>
        </is>
      </c>
      <c r="E304" t="inlineStr">
        <is>
          <t>DOCUMENT</t>
        </is>
      </c>
    </row>
    <row r="305">
      <c r="A305" t="inlineStr">
        <is>
          <t>Project Notos</t>
        </is>
      </c>
      <c r="B305" t="inlineStr">
        <is>
          <t>1.3.1.1.2</t>
        </is>
      </c>
      <c r="C305" t="inlineStr"/>
      <c r="D305" t="inlineStr">
        <is>
          <t>RF_commercial register application re share transfer_20191108</t>
        </is>
      </c>
      <c r="E305" t="inlineStr">
        <is>
          <t>DOCUMENT</t>
        </is>
      </c>
    </row>
    <row r="306">
      <c r="A306" t="inlineStr">
        <is>
          <t>Project Notos</t>
        </is>
      </c>
      <c r="B306" t="inlineStr">
        <is>
          <t>1.3.1.1.3</t>
        </is>
      </c>
      <c r="C306" t="inlineStr"/>
      <c r="D306" t="inlineStr">
        <is>
          <t>RF_commercial register application re share transfer_20191203</t>
        </is>
      </c>
      <c r="E306" t="inlineStr">
        <is>
          <t>DOCUMENT</t>
        </is>
      </c>
    </row>
    <row r="307">
      <c r="A307" s="149" t="inlineStr">
        <is>
          <t>Project Notos</t>
        </is>
      </c>
      <c r="B307" s="149" t="inlineStr">
        <is>
          <t>1.3.1.2</t>
        </is>
      </c>
      <c r="C307" s="149" t="inlineStr">
        <is>
          <t>Articles of association</t>
        </is>
      </c>
      <c r="D307" s="149" t="inlineStr"/>
      <c r="E307" s="149" t="inlineStr">
        <is>
          <t>FOLDER</t>
        </is>
      </c>
    </row>
    <row r="308">
      <c r="A308" t="inlineStr">
        <is>
          <t>Project Notos</t>
        </is>
      </c>
      <c r="B308" t="inlineStr">
        <is>
          <t>1.3.1.2.1</t>
        </is>
      </c>
      <c r="C308" t="inlineStr"/>
      <c r="D308" t="inlineStr">
        <is>
          <t>RF_articles of association_20241219</t>
        </is>
      </c>
      <c r="E308" t="inlineStr">
        <is>
          <t>DOCUMENT</t>
        </is>
      </c>
    </row>
    <row r="309">
      <c r="A309" s="149" t="inlineStr">
        <is>
          <t>Project Notos</t>
        </is>
      </c>
      <c r="B309" s="149" t="inlineStr">
        <is>
          <t>1.3.1.3</t>
        </is>
      </c>
      <c r="C309" s="149" t="inlineStr">
        <is>
          <t>List of shareholders</t>
        </is>
      </c>
      <c r="D309" s="149" t="inlineStr"/>
      <c r="E309" s="149" t="inlineStr">
        <is>
          <t>FOLDER</t>
        </is>
      </c>
    </row>
    <row r="310">
      <c r="A310" t="inlineStr">
        <is>
          <t>Project Notos</t>
        </is>
      </c>
      <c r="B310" t="inlineStr">
        <is>
          <t>1.3.1.3.1</t>
        </is>
      </c>
      <c r="C310" t="inlineStr"/>
      <c r="D310" t="inlineStr">
        <is>
          <t>RF_Offer of Assignment of Shares_20190624</t>
        </is>
      </c>
      <c r="E310" t="inlineStr">
        <is>
          <t>DOCUMENT</t>
        </is>
      </c>
    </row>
    <row r="311">
      <c r="A311" t="inlineStr">
        <is>
          <t>Project Notos</t>
        </is>
      </c>
      <c r="B311" t="inlineStr">
        <is>
          <t>1.3.1.3.2</t>
        </is>
      </c>
      <c r="C311" t="inlineStr"/>
      <c r="D311" t="inlineStr">
        <is>
          <t>RF_Offer of Assignment of Shares_20190605</t>
        </is>
      </c>
      <c r="E311" t="inlineStr">
        <is>
          <t>DOCUMENT</t>
        </is>
      </c>
    </row>
    <row r="312">
      <c r="A312" t="inlineStr">
        <is>
          <t>Project Notos</t>
        </is>
      </c>
      <c r="B312" t="inlineStr">
        <is>
          <t>1.3.1.3.3</t>
        </is>
      </c>
      <c r="C312" t="inlineStr"/>
      <c r="D312" t="inlineStr">
        <is>
          <t>RF_Deed of Acceptance_20191108</t>
        </is>
      </c>
      <c r="E312" t="inlineStr">
        <is>
          <t>DOCUMENT</t>
        </is>
      </c>
    </row>
    <row r="313">
      <c r="A313" t="inlineStr">
        <is>
          <t>Project Notos</t>
        </is>
      </c>
      <c r="B313" t="inlineStr">
        <is>
          <t>1.3.1.3.4</t>
        </is>
      </c>
      <c r="C313" t="inlineStr"/>
      <c r="D313" t="inlineStr">
        <is>
          <t>RF_Confirmation of Delivery re Offer of Assignemnt of Shares 20190624 &amp; Deed of Acceptance 20191108_20191108</t>
        </is>
      </c>
      <c r="E313" t="inlineStr">
        <is>
          <t>DOCUMENT</t>
        </is>
      </c>
    </row>
    <row r="314">
      <c r="A314" t="inlineStr">
        <is>
          <t>Project Notos</t>
        </is>
      </c>
      <c r="B314" t="inlineStr">
        <is>
          <t>1.3.1.3.5</t>
        </is>
      </c>
      <c r="C314" t="inlineStr"/>
      <c r="D314" t="inlineStr">
        <is>
          <t>RF_Deed of Acceptance_20191203</t>
        </is>
      </c>
      <c r="E314" t="inlineStr">
        <is>
          <t>DOCUMENT</t>
        </is>
      </c>
    </row>
    <row r="315">
      <c r="A315" t="inlineStr">
        <is>
          <t>Project Notos</t>
        </is>
      </c>
      <c r="B315" t="inlineStr">
        <is>
          <t>1.3.1.3.6</t>
        </is>
      </c>
      <c r="C315" t="inlineStr"/>
      <c r="D315" t="inlineStr">
        <is>
          <t>RF_Confirmation of Insolvency Administrator_20191108</t>
        </is>
      </c>
      <c r="E315" t="inlineStr">
        <is>
          <t>DOCUMENT</t>
        </is>
      </c>
    </row>
    <row r="316">
      <c r="A316" s="149" t="inlineStr">
        <is>
          <t>Project Notos</t>
        </is>
      </c>
      <c r="B316" s="149" t="inlineStr">
        <is>
          <t>1.3.1.4</t>
        </is>
      </c>
      <c r="C316" s="149" t="inlineStr">
        <is>
          <t>Company agreements</t>
        </is>
      </c>
      <c r="D316" s="149" t="inlineStr"/>
      <c r="E316" s="149" t="inlineStr">
        <is>
          <t>FOLDER</t>
        </is>
      </c>
    </row>
    <row r="317">
      <c r="A317" t="inlineStr">
        <is>
          <t>Project Notos</t>
        </is>
      </c>
      <c r="B317" t="inlineStr">
        <is>
          <t>1.3.1.4.1</t>
        </is>
      </c>
      <c r="C317" t="inlineStr"/>
      <c r="D317" t="inlineStr">
        <is>
          <t>RF_group service agreement_241230</t>
        </is>
      </c>
      <c r="E317" t="inlineStr">
        <is>
          <t>DOCUMENT</t>
        </is>
      </c>
    </row>
    <row r="318">
      <c r="A318" t="inlineStr">
        <is>
          <t>Project Notos</t>
        </is>
      </c>
      <c r="B318" t="inlineStr">
        <is>
          <t>1.3.1.4.2</t>
        </is>
      </c>
      <c r="C318" t="inlineStr"/>
      <c r="D318" t="inlineStr">
        <is>
          <t>RF_release of claims IHE_251231</t>
        </is>
      </c>
      <c r="E318" t="inlineStr">
        <is>
          <t>DOCUMENT</t>
        </is>
      </c>
    </row>
    <row r="319">
      <c r="A319" s="149" t="inlineStr">
        <is>
          <t>Project Notos</t>
        </is>
      </c>
      <c r="B319" s="149" t="inlineStr">
        <is>
          <t>1.3.1.5</t>
        </is>
      </c>
      <c r="C319" s="149" t="inlineStr">
        <is>
          <t>Miscellaneous</t>
        </is>
      </c>
      <c r="D319" s="149" t="inlineStr"/>
      <c r="E319" s="149" t="inlineStr">
        <is>
          <t>FOLDER</t>
        </is>
      </c>
    </row>
    <row r="320">
      <c r="A320" t="inlineStr">
        <is>
          <t>Project Notos</t>
        </is>
      </c>
      <c r="B320" t="inlineStr">
        <is>
          <t>1.3.1.5.1</t>
        </is>
      </c>
      <c r="C320" t="inlineStr"/>
      <c r="D320" t="inlineStr">
        <is>
          <t>RF_Austrian Trade Register Extract_20260309</t>
        </is>
      </c>
      <c r="E320" t="inlineStr">
        <is>
          <t>DOCUMENT</t>
        </is>
      </c>
    </row>
    <row r="321">
      <c r="A321" t="inlineStr">
        <is>
          <t>Project Notos</t>
        </is>
      </c>
      <c r="B321" t="inlineStr">
        <is>
          <t>1.3.1.5.2</t>
        </is>
      </c>
      <c r="C321" t="inlineStr"/>
      <c r="D321" t="inlineStr">
        <is>
          <t>RF_subsidy austria wirtschaftsservice_230420</t>
        </is>
      </c>
      <c r="E321" t="inlineStr">
        <is>
          <t>DOCUMENT</t>
        </is>
      </c>
    </row>
    <row r="322">
      <c r="A322" t="inlineStr">
        <is>
          <t>Project Notos</t>
        </is>
      </c>
      <c r="B322" t="inlineStr">
        <is>
          <t>1.3.1.5.3</t>
        </is>
      </c>
      <c r="C322" t="inlineStr"/>
      <c r="D322" t="inlineStr">
        <is>
          <t>RF_covid aid_220630</t>
        </is>
      </c>
      <c r="E322" t="inlineStr">
        <is>
          <t>DOCUMENT</t>
        </is>
      </c>
    </row>
    <row r="323">
      <c r="A323" t="inlineStr">
        <is>
          <t>Project Notos</t>
        </is>
      </c>
      <c r="B323" t="inlineStr">
        <is>
          <t>1.3.1.5.4</t>
        </is>
      </c>
      <c r="C323" t="inlineStr"/>
      <c r="D323" t="inlineStr">
        <is>
          <t>RF_subsidy austria wirtschaftsservice_231215</t>
        </is>
      </c>
      <c r="E323" t="inlineStr">
        <is>
          <t>DOCUMENT</t>
        </is>
      </c>
    </row>
    <row r="324">
      <c r="A324" t="inlineStr">
        <is>
          <t>Project Notos</t>
        </is>
      </c>
      <c r="B324" t="inlineStr">
        <is>
          <t>1.3.1.5.5</t>
        </is>
      </c>
      <c r="C324" t="inlineStr"/>
      <c r="D324" t="inlineStr">
        <is>
          <t>RF_business license_260302</t>
        </is>
      </c>
      <c r="E324" t="inlineStr">
        <is>
          <t>DOCUMENT</t>
        </is>
      </c>
    </row>
    <row r="325">
      <c r="A325" s="149" t="inlineStr">
        <is>
          <t>Project Notos</t>
        </is>
      </c>
      <c r="B325" s="149" t="inlineStr">
        <is>
          <t>1.3.1.5.6</t>
        </is>
      </c>
      <c r="C325" s="149" t="inlineStr">
        <is>
          <t>Insolvency proceeding</t>
        </is>
      </c>
      <c r="D325" s="149" t="inlineStr"/>
      <c r="E325" s="149" t="inlineStr">
        <is>
          <t>FOLDER</t>
        </is>
      </c>
    </row>
    <row r="326">
      <c r="A326" t="inlineStr">
        <is>
          <t>Project Notos</t>
        </is>
      </c>
      <c r="B326" t="inlineStr">
        <is>
          <t>1.3.1.5.6.1</t>
        </is>
      </c>
      <c r="C326" t="inlineStr"/>
      <c r="D326" t="inlineStr">
        <is>
          <t>RF Sanierungsverfahren Ediktdatei</t>
        </is>
      </c>
      <c r="E326" t="inlineStr">
        <is>
          <t>DOCUMENT</t>
        </is>
      </c>
    </row>
    <row r="327">
      <c r="A327" s="149" t="inlineStr">
        <is>
          <t>Project Notos</t>
        </is>
      </c>
      <c r="B327" s="149" t="inlineStr">
        <is>
          <t>1.3.1.6</t>
        </is>
      </c>
      <c r="C327" s="149" t="inlineStr">
        <is>
          <t>Shareholder resolutions</t>
        </is>
      </c>
      <c r="D327" s="149" t="inlineStr"/>
      <c r="E327" s="149" t="inlineStr">
        <is>
          <t>FOLDER</t>
        </is>
      </c>
    </row>
    <row r="328">
      <c r="A328" t="inlineStr">
        <is>
          <t>Project Notos</t>
        </is>
      </c>
      <c r="B328" t="inlineStr">
        <is>
          <t>1.3.1.6.1</t>
        </is>
      </c>
      <c r="C328" t="inlineStr"/>
      <c r="D328" t="inlineStr">
        <is>
          <t>RF_Shareholders Resolution_Rupert Fertinger GmbH. (Appointment of Andreas Zwerger)_20191108</t>
        </is>
      </c>
      <c r="E328" t="inlineStr">
        <is>
          <t>DOCUMENT</t>
        </is>
      </c>
    </row>
    <row r="329">
      <c r="A329" t="inlineStr">
        <is>
          <t>Project Notos</t>
        </is>
      </c>
      <c r="B329" t="inlineStr">
        <is>
          <t>1.3.1.6.2</t>
        </is>
      </c>
      <c r="C329" t="inlineStr"/>
      <c r="D329" t="inlineStr">
        <is>
          <t>RF_Shareholders Resolution_Rupert Fertinger GmbH. (Appointment of Günter Muhr)_20241204</t>
        </is>
      </c>
      <c r="E329" t="inlineStr">
        <is>
          <t>DOCUMENT</t>
        </is>
      </c>
    </row>
    <row r="330">
      <c r="A330" t="inlineStr">
        <is>
          <t>Project Notos</t>
        </is>
      </c>
      <c r="B330" t="inlineStr">
        <is>
          <t>1.3.1.6.3</t>
        </is>
      </c>
      <c r="C330" t="inlineStr"/>
      <c r="D330" t="inlineStr">
        <is>
          <t>121223_Umlaufbeschluss 2023</t>
        </is>
      </c>
      <c r="E330" t="inlineStr">
        <is>
          <t>DOCUMENT</t>
        </is>
      </c>
    </row>
    <row r="331">
      <c r="A331" t="inlineStr">
        <is>
          <t>Project Notos</t>
        </is>
      </c>
      <c r="B331" t="inlineStr">
        <is>
          <t>1.3.1.6.4</t>
        </is>
      </c>
      <c r="C331" t="inlineStr"/>
      <c r="D331" t="inlineStr">
        <is>
          <t>220511_Umlaufbeschluss_2021</t>
        </is>
      </c>
      <c r="E331" t="inlineStr">
        <is>
          <t>DOCUMENT</t>
        </is>
      </c>
    </row>
    <row r="332">
      <c r="A332" t="inlineStr">
        <is>
          <t>Project Notos</t>
        </is>
      </c>
      <c r="B332" t="inlineStr">
        <is>
          <t>1.3.1.6.5</t>
        </is>
      </c>
      <c r="C332" t="inlineStr"/>
      <c r="D332" t="inlineStr">
        <is>
          <t>230505_Umlaufbeschluss _2022</t>
        </is>
      </c>
      <c r="E332" t="inlineStr">
        <is>
          <t>DOCUMENT</t>
        </is>
      </c>
    </row>
    <row r="333">
      <c r="A333" t="inlineStr">
        <is>
          <t>Project Notos</t>
        </is>
      </c>
      <c r="B333" t="inlineStr">
        <is>
          <t>1.3.1.6.6</t>
        </is>
      </c>
      <c r="C333" t="inlineStr"/>
      <c r="D333" t="inlineStr">
        <is>
          <t>Umlaufbeschluss_2024</t>
        </is>
      </c>
      <c r="E333" t="inlineStr">
        <is>
          <t>DOCUMENT</t>
        </is>
      </c>
    </row>
    <row r="334">
      <c r="A334" s="149" t="inlineStr">
        <is>
          <t>Project Notos</t>
        </is>
      </c>
      <c r="B334" s="149" t="inlineStr">
        <is>
          <t>1.3.2</t>
        </is>
      </c>
      <c r="C334" s="149" t="inlineStr">
        <is>
          <t>Financing</t>
        </is>
      </c>
      <c r="D334" s="149" t="inlineStr"/>
      <c r="E334" s="149" t="inlineStr">
        <is>
          <t>FOLDER</t>
        </is>
      </c>
    </row>
    <row r="335">
      <c r="A335" s="149" t="inlineStr">
        <is>
          <t>Project Notos</t>
        </is>
      </c>
      <c r="B335" s="149" t="inlineStr">
        <is>
          <t>1.3.2.1</t>
        </is>
      </c>
      <c r="C335" s="149" t="inlineStr">
        <is>
          <t>Raiffeisen</t>
        </is>
      </c>
      <c r="D335" s="149" t="inlineStr"/>
      <c r="E335" s="149" t="inlineStr">
        <is>
          <t>FOLDER</t>
        </is>
      </c>
    </row>
    <row r="336">
      <c r="A336" t="inlineStr">
        <is>
          <t>Project Notos</t>
        </is>
      </c>
      <c r="B336" t="inlineStr">
        <is>
          <t>1.3.2.1.1</t>
        </is>
      </c>
      <c r="C336" t="inlineStr"/>
      <c r="D336" t="inlineStr">
        <is>
          <t>17.12.2024_Vereinbarung</t>
        </is>
      </c>
      <c r="E336" t="inlineStr">
        <is>
          <t>DOCUMENT</t>
        </is>
      </c>
    </row>
    <row r="337">
      <c r="A337" s="149" t="inlineStr">
        <is>
          <t>Project Notos</t>
        </is>
      </c>
      <c r="B337" s="149" t="inlineStr">
        <is>
          <t>1.3.2.2</t>
        </is>
      </c>
      <c r="C337" s="149" t="inlineStr">
        <is>
          <t>Factoring</t>
        </is>
      </c>
      <c r="D337" s="149" t="inlineStr"/>
      <c r="E337" s="149" t="inlineStr">
        <is>
          <t>FOLDER</t>
        </is>
      </c>
    </row>
    <row r="338">
      <c r="A338" t="inlineStr">
        <is>
          <t>Project Notos</t>
        </is>
      </c>
      <c r="B338" t="inlineStr">
        <is>
          <t>1.3.2.2.1</t>
        </is>
      </c>
      <c r="C338" t="inlineStr"/>
      <c r="D338" t="inlineStr">
        <is>
          <t>RF_Factoring Raiffeisen Factor Bank_20240403</t>
        </is>
      </c>
      <c r="E338" t="inlineStr">
        <is>
          <t>DOCUMENT</t>
        </is>
      </c>
    </row>
    <row r="339">
      <c r="A339" s="149" t="inlineStr">
        <is>
          <t>Project Notos</t>
        </is>
      </c>
      <c r="B339" s="149" t="inlineStr">
        <is>
          <t>1.3.2.3</t>
        </is>
      </c>
      <c r="C339" s="149" t="inlineStr">
        <is>
          <t>IC loans</t>
        </is>
      </c>
      <c r="D339" s="149" t="inlineStr"/>
      <c r="E339" s="149" t="inlineStr">
        <is>
          <t>FOLDER</t>
        </is>
      </c>
    </row>
    <row r="340">
      <c r="A340" t="inlineStr">
        <is>
          <t>Project Notos</t>
        </is>
      </c>
      <c r="B340" t="inlineStr">
        <is>
          <t>1.3.2.3.1</t>
        </is>
      </c>
      <c r="C340" t="inlineStr"/>
      <c r="D340" t="inlineStr">
        <is>
          <t>RF_loan agreement to FAP_200421</t>
        </is>
      </c>
      <c r="E340" t="inlineStr">
        <is>
          <t>DOCUMENT</t>
        </is>
      </c>
    </row>
    <row r="341">
      <c r="A341" t="inlineStr">
        <is>
          <t>Project Notos</t>
        </is>
      </c>
      <c r="B341" t="inlineStr">
        <is>
          <t>1.3.2.3.2</t>
        </is>
      </c>
      <c r="C341" t="inlineStr"/>
      <c r="D341" t="inlineStr">
        <is>
          <t>RF_loan agreement from schmid metall_191108</t>
        </is>
      </c>
      <c r="E341" t="inlineStr">
        <is>
          <t>DOCUMENT</t>
        </is>
      </c>
    </row>
    <row r="342">
      <c r="A342" t="inlineStr">
        <is>
          <t>Project Notos</t>
        </is>
      </c>
      <c r="B342" t="inlineStr">
        <is>
          <t>1.3.2.3.3</t>
        </is>
      </c>
      <c r="C342" t="inlineStr"/>
      <c r="D342" t="inlineStr">
        <is>
          <t>RF_loan agreement from IG_250123</t>
        </is>
      </c>
      <c r="E342" t="inlineStr">
        <is>
          <t>DOCUMENT</t>
        </is>
      </c>
    </row>
    <row r="343">
      <c r="A343" t="inlineStr">
        <is>
          <t>Project Notos</t>
        </is>
      </c>
      <c r="B343" t="inlineStr">
        <is>
          <t>1.3.2.3.4</t>
        </is>
      </c>
      <c r="C343" t="inlineStr"/>
      <c r="D343" t="inlineStr">
        <is>
          <t>RF_loan agreement from IHE_</t>
        </is>
      </c>
      <c r="E343" t="inlineStr">
        <is>
          <t>DOCUMENT</t>
        </is>
      </c>
    </row>
    <row r="344">
      <c r="A344" s="149" t="inlineStr">
        <is>
          <t>Project Notos</t>
        </is>
      </c>
      <c r="B344" s="149" t="inlineStr">
        <is>
          <t>1.3.3</t>
        </is>
      </c>
      <c r="C344" s="149" t="inlineStr">
        <is>
          <t>Employment</t>
        </is>
      </c>
      <c r="D344" s="149" t="inlineStr"/>
      <c r="E344" s="149" t="inlineStr">
        <is>
          <t>FOLDER</t>
        </is>
      </c>
    </row>
    <row r="345">
      <c r="A345" s="149" t="inlineStr">
        <is>
          <t>Project Notos</t>
        </is>
      </c>
      <c r="B345" s="149" t="inlineStr">
        <is>
          <t>1.3.3.1</t>
        </is>
      </c>
      <c r="C345" s="149" t="inlineStr">
        <is>
          <t>Works agreements</t>
        </is>
      </c>
      <c r="D345" s="149" t="inlineStr"/>
      <c r="E345" s="149" t="inlineStr">
        <is>
          <t>FOLDER</t>
        </is>
      </c>
    </row>
    <row r="346">
      <c r="A346" t="inlineStr">
        <is>
          <t>Project Notos</t>
        </is>
      </c>
      <c r="B346" t="inlineStr">
        <is>
          <t>1.3.3.1.1</t>
        </is>
      </c>
      <c r="C346" t="inlineStr"/>
      <c r="D346" t="inlineStr">
        <is>
          <t>RF_Kaufkraftsicherungsprämie_251212</t>
        </is>
      </c>
      <c r="E346" t="inlineStr">
        <is>
          <t>DOCUMENT</t>
        </is>
      </c>
    </row>
    <row r="347">
      <c r="A347" s="149" t="inlineStr">
        <is>
          <t>Project Notos</t>
        </is>
      </c>
      <c r="B347" s="149" t="inlineStr">
        <is>
          <t>1.3.3.2</t>
        </is>
      </c>
      <c r="C347" s="149" t="inlineStr">
        <is>
          <t>List of personnel</t>
        </is>
      </c>
      <c r="D347" s="149" t="inlineStr"/>
      <c r="E347" s="149" t="inlineStr">
        <is>
          <t>FOLDER</t>
        </is>
      </c>
    </row>
    <row r="348">
      <c r="A348" s="3" t="inlineStr">
        <is>
          <t>Project Notos</t>
        </is>
      </c>
      <c r="B348" s="3" t="inlineStr">
        <is>
          <t>1.3.3.2.1</t>
        </is>
      </c>
      <c r="C348" s="3" t="inlineStr"/>
      <c r="D348" s="3" t="inlineStr">
        <is>
          <t>To come</t>
        </is>
      </c>
      <c r="E348" s="3" t="inlineStr">
        <is>
          <t>PLACEHOLDER</t>
        </is>
      </c>
    </row>
    <row r="349">
      <c r="A349" t="inlineStr">
        <is>
          <t>Project Notos</t>
        </is>
      </c>
      <c r="B349" t="inlineStr">
        <is>
          <t>1.3.3.3</t>
        </is>
      </c>
      <c r="C349" t="inlineStr"/>
      <c r="D349" t="inlineStr">
        <is>
          <t>RF_Haustarifvertrag 2025</t>
        </is>
      </c>
      <c r="E349" t="inlineStr">
        <is>
          <t>DOCUMENT</t>
        </is>
      </c>
    </row>
    <row r="350">
      <c r="A350" s="149" t="inlineStr">
        <is>
          <t>Project Notos</t>
        </is>
      </c>
      <c r="B350" s="149" t="inlineStr">
        <is>
          <t>1.3.4</t>
        </is>
      </c>
      <c r="C350" s="149" t="inlineStr">
        <is>
          <t>Real Estate</t>
        </is>
      </c>
      <c r="D350" s="149" t="inlineStr"/>
      <c r="E350" s="149" t="inlineStr">
        <is>
          <t>FOLDER</t>
        </is>
      </c>
    </row>
    <row r="351">
      <c r="A351" s="149" t="inlineStr">
        <is>
          <t>Project Notos</t>
        </is>
      </c>
      <c r="B351" s="149" t="inlineStr">
        <is>
          <t>1.3.4.1</t>
        </is>
      </c>
      <c r="C351" s="149" t="inlineStr">
        <is>
          <t>Land register</t>
        </is>
      </c>
      <c r="D351" s="149" t="inlineStr"/>
      <c r="E351" s="149" t="inlineStr">
        <is>
          <t>FOLDER</t>
        </is>
      </c>
    </row>
    <row r="352">
      <c r="A352" t="inlineStr">
        <is>
          <t>Project Notos</t>
        </is>
      </c>
      <c r="B352" t="inlineStr">
        <is>
          <t>1.3.4.1.1</t>
        </is>
      </c>
      <c r="C352" t="inlineStr"/>
      <c r="D352" t="inlineStr">
        <is>
          <t>RF_GBA 1776 KG 06117 Neusiedl an der Zaya</t>
        </is>
      </c>
      <c r="E352" t="inlineStr">
        <is>
          <t>DOCUMENT</t>
        </is>
      </c>
    </row>
    <row r="353">
      <c r="A353" s="149" t="inlineStr">
        <is>
          <t>Project Notos</t>
        </is>
      </c>
      <c r="B353" s="149" t="inlineStr">
        <is>
          <t>1.3.4.2</t>
        </is>
      </c>
      <c r="C353" s="149" t="inlineStr">
        <is>
          <t>Valuation report</t>
        </is>
      </c>
      <c r="D353" s="149" t="inlineStr"/>
      <c r="E353" s="149" t="inlineStr">
        <is>
          <t>FOLDER</t>
        </is>
      </c>
    </row>
    <row r="354">
      <c r="A354" t="inlineStr">
        <is>
          <t>Project Notos</t>
        </is>
      </c>
      <c r="B354" t="inlineStr">
        <is>
          <t>1.3.4.2.1</t>
        </is>
      </c>
      <c r="C354" t="inlineStr"/>
      <c r="D354" t="inlineStr">
        <is>
          <t>RF_Valuation Report_Neusiedl_250924</t>
        </is>
      </c>
      <c r="E354" t="inlineStr">
        <is>
          <t>DOCUMENT</t>
        </is>
      </c>
    </row>
    <row r="355">
      <c r="A355" s="149" t="inlineStr">
        <is>
          <t>Project Notos</t>
        </is>
      </c>
      <c r="B355" s="149" t="inlineStr">
        <is>
          <t>1.3.4.3</t>
        </is>
      </c>
      <c r="C355" s="149" t="inlineStr">
        <is>
          <t>Rental contract</t>
        </is>
      </c>
      <c r="D355" s="149" t="inlineStr"/>
      <c r="E355" s="149" t="inlineStr">
        <is>
          <t>FOLDER</t>
        </is>
      </c>
    </row>
    <row r="356">
      <c r="A356" t="inlineStr">
        <is>
          <t>Project Notos</t>
        </is>
      </c>
      <c r="B356" t="inlineStr">
        <is>
          <t>1.3.4.3.1</t>
        </is>
      </c>
      <c r="C356" t="inlineStr"/>
      <c r="D356" t="inlineStr">
        <is>
          <t>RF_sub lease agreement IHE_250101</t>
        </is>
      </c>
      <c r="E356" t="inlineStr">
        <is>
          <t>DOCUMENT</t>
        </is>
      </c>
    </row>
    <row r="357">
      <c r="A357" s="149" t="inlineStr">
        <is>
          <t>Project Notos</t>
        </is>
      </c>
      <c r="B357" s="149" t="inlineStr">
        <is>
          <t>1.3.5</t>
        </is>
      </c>
      <c r="C357" s="149" t="inlineStr">
        <is>
          <t>Insurance</t>
        </is>
      </c>
      <c r="D357" s="149" t="inlineStr"/>
      <c r="E357" s="149" t="inlineStr">
        <is>
          <t>FOLDER</t>
        </is>
      </c>
    </row>
    <row r="358">
      <c r="A358" t="inlineStr">
        <is>
          <t>Project Notos</t>
        </is>
      </c>
      <c r="B358" t="inlineStr">
        <is>
          <t>1.3.5.1</t>
        </is>
      </c>
      <c r="C358" t="inlineStr"/>
      <c r="D358" t="inlineStr">
        <is>
          <t>RF_insurance hdi_260303</t>
        </is>
      </c>
      <c r="E358" t="inlineStr">
        <is>
          <t>DOCUMENT</t>
        </is>
      </c>
    </row>
    <row r="359">
      <c r="A359" s="149" t="inlineStr">
        <is>
          <t>Project Notos</t>
        </is>
      </c>
      <c r="B359" s="149" t="inlineStr">
        <is>
          <t>1.3.6</t>
        </is>
      </c>
      <c r="C359" s="149" t="inlineStr">
        <is>
          <t>Permits</t>
        </is>
      </c>
      <c r="D359" s="149" t="inlineStr"/>
      <c r="E359" s="149" t="inlineStr">
        <is>
          <t>FOLDER</t>
        </is>
      </c>
    </row>
    <row r="360">
      <c r="A360" t="inlineStr">
        <is>
          <t>Project Notos</t>
        </is>
      </c>
      <c r="B360" t="inlineStr">
        <is>
          <t>1.3.6.1</t>
        </is>
      </c>
      <c r="C360" t="inlineStr"/>
      <c r="D360" t="inlineStr">
        <is>
          <t>RF_12-B-8436_24</t>
        </is>
      </c>
      <c r="E360" t="inlineStr">
        <is>
          <t>DOCUMENT</t>
        </is>
      </c>
    </row>
    <row r="361">
      <c r="A361" t="inlineStr">
        <is>
          <t>Project Notos</t>
        </is>
      </c>
      <c r="B361" t="inlineStr">
        <is>
          <t>1.3.6.2</t>
        </is>
      </c>
      <c r="C361" t="inlineStr"/>
      <c r="D361" t="inlineStr">
        <is>
          <t>RF_131_88_Bescheid</t>
        </is>
      </c>
      <c r="E361" t="inlineStr">
        <is>
          <t>DOCUMENT</t>
        </is>
      </c>
    </row>
    <row r="362">
      <c r="A362" t="inlineStr">
        <is>
          <t>Project Notos</t>
        </is>
      </c>
      <c r="B362" t="inlineStr">
        <is>
          <t>1.3.6.3</t>
        </is>
      </c>
      <c r="C362" t="inlineStr"/>
      <c r="D362" t="inlineStr">
        <is>
          <t>RF_131_90_Bescheid</t>
        </is>
      </c>
      <c r="E362" t="inlineStr">
        <is>
          <t>DOCUMENT</t>
        </is>
      </c>
    </row>
    <row r="363">
      <c r="A363" t="inlineStr">
        <is>
          <t>Project Notos</t>
        </is>
      </c>
      <c r="B363" t="inlineStr">
        <is>
          <t>1.3.6.4</t>
        </is>
      </c>
      <c r="C363" t="inlineStr"/>
      <c r="D363" t="inlineStr">
        <is>
          <t>RF_GFW2 BA 04206 005 GFW2 BO 0474 002</t>
        </is>
      </c>
      <c r="E363" t="inlineStr">
        <is>
          <t>DOCUMENT</t>
        </is>
      </c>
    </row>
    <row r="364">
      <c r="A364" t="inlineStr">
        <is>
          <t>Project Notos</t>
        </is>
      </c>
      <c r="B364" t="inlineStr">
        <is>
          <t>1.3.6.5</t>
        </is>
      </c>
      <c r="C364" t="inlineStr"/>
      <c r="D364" t="inlineStr">
        <is>
          <t>RF_GFW2_BA_04206_006 GFW3_BO_0474_003_B</t>
        </is>
      </c>
      <c r="E364" t="inlineStr">
        <is>
          <t>DOCUMENT</t>
        </is>
      </c>
    </row>
    <row r="365">
      <c r="A365" t="inlineStr">
        <is>
          <t>Project Notos</t>
        </is>
      </c>
      <c r="B365" t="inlineStr">
        <is>
          <t>1.3.6.6</t>
        </is>
      </c>
      <c r="C365" t="inlineStr"/>
      <c r="D365" t="inlineStr">
        <is>
          <t>RF_GFW2_BA_04206_007_B</t>
        </is>
      </c>
      <c r="E365" t="inlineStr">
        <is>
          <t>DOCUMENT</t>
        </is>
      </c>
    </row>
    <row r="366">
      <c r="A366" t="inlineStr">
        <is>
          <t>Project Notos</t>
        </is>
      </c>
      <c r="B366" t="inlineStr">
        <is>
          <t>1.3.6.7</t>
        </is>
      </c>
      <c r="C366" t="inlineStr"/>
      <c r="D366" t="inlineStr">
        <is>
          <t>RF_GFW2-BA-04206_002 V</t>
        </is>
      </c>
      <c r="E366" t="inlineStr">
        <is>
          <t>DOCUMENT</t>
        </is>
      </c>
    </row>
    <row r="367">
      <c r="A367" t="inlineStr">
        <is>
          <t>Project Notos</t>
        </is>
      </c>
      <c r="B367" t="inlineStr">
        <is>
          <t>1.3.6.8</t>
        </is>
      </c>
      <c r="C367" t="inlineStr"/>
      <c r="D367" t="inlineStr">
        <is>
          <t>RF_GFW2-BA-04206_003_Bpdf</t>
        </is>
      </c>
      <c r="E367" t="inlineStr">
        <is>
          <t>DOCUMENT</t>
        </is>
      </c>
    </row>
    <row r="368">
      <c r="A368" t="inlineStr">
        <is>
          <t>Project Notos</t>
        </is>
      </c>
      <c r="B368" t="inlineStr">
        <is>
          <t>1.3.6.9</t>
        </is>
      </c>
      <c r="C368" t="inlineStr"/>
      <c r="D368" t="inlineStr">
        <is>
          <t>RF_GFW2-BA-04206_004 20120704 Ergänzungen</t>
        </is>
      </c>
      <c r="E368" t="inlineStr">
        <is>
          <t>DOCUMENT</t>
        </is>
      </c>
    </row>
    <row r="369">
      <c r="A369" t="inlineStr">
        <is>
          <t>Project Notos</t>
        </is>
      </c>
      <c r="B369" t="inlineStr">
        <is>
          <t>1.3.6.10</t>
        </is>
      </c>
      <c r="C369" t="inlineStr"/>
      <c r="D369" t="inlineStr">
        <is>
          <t>RF_GFW2-BA-04206_004 20130415 Zurückziehung</t>
        </is>
      </c>
      <c r="E369" t="inlineStr">
        <is>
          <t>DOCUMENT</t>
        </is>
      </c>
    </row>
    <row r="370">
      <c r="A370" t="inlineStr">
        <is>
          <t>Project Notos</t>
        </is>
      </c>
      <c r="B370" t="inlineStr">
        <is>
          <t>1.3.6.11</t>
        </is>
      </c>
      <c r="C370" t="inlineStr"/>
      <c r="D370" t="inlineStr">
        <is>
          <t>RF_GFW2-BA-04206_008 01 Bescheid</t>
        </is>
      </c>
      <c r="E370" t="inlineStr">
        <is>
          <t>DOCUMENT</t>
        </is>
      </c>
    </row>
    <row r="371">
      <c r="A371" t="inlineStr">
        <is>
          <t>Project Notos</t>
        </is>
      </c>
      <c r="B371" t="inlineStr">
        <is>
          <t>1.3.6.12</t>
        </is>
      </c>
      <c r="C371" t="inlineStr"/>
      <c r="D371" t="inlineStr">
        <is>
          <t>RF_XII-G-30_5-1974</t>
        </is>
      </c>
      <c r="E371" t="inlineStr">
        <is>
          <t>DOCUMENT</t>
        </is>
      </c>
    </row>
    <row r="372">
      <c r="A372" t="inlineStr">
        <is>
          <t>Project Notos</t>
        </is>
      </c>
      <c r="B372" t="inlineStr">
        <is>
          <t>1.3.6.13</t>
        </is>
      </c>
      <c r="C372" t="inlineStr"/>
      <c r="D372" t="inlineStr">
        <is>
          <t>RF_XII-G-35_3-1973</t>
        </is>
      </c>
      <c r="E372" t="inlineStr">
        <is>
          <t>DOCUMENT</t>
        </is>
      </c>
    </row>
    <row r="373">
      <c r="A373" s="149" t="inlineStr">
        <is>
          <t>Project Notos</t>
        </is>
      </c>
      <c r="B373" s="149" t="inlineStr">
        <is>
          <t>1.4</t>
        </is>
      </c>
      <c r="C373" s="149" t="inlineStr">
        <is>
          <t>Fertinger Tubes GmbH (FT)</t>
        </is>
      </c>
      <c r="D373" s="149" t="inlineStr"/>
      <c r="E373" s="149" t="inlineStr">
        <is>
          <t>FOLDER</t>
        </is>
      </c>
    </row>
    <row r="374">
      <c r="A374" s="149" t="inlineStr">
        <is>
          <t>Project Notos</t>
        </is>
      </c>
      <c r="B374" s="149" t="inlineStr">
        <is>
          <t>1.4.1</t>
        </is>
      </c>
      <c r="C374" s="149" t="inlineStr">
        <is>
          <t>Corporate</t>
        </is>
      </c>
      <c r="D374" s="149" t="inlineStr"/>
      <c r="E374" s="149" t="inlineStr">
        <is>
          <t>FOLDER</t>
        </is>
      </c>
    </row>
    <row r="375">
      <c r="A375" s="149" t="inlineStr">
        <is>
          <t>Project Notos</t>
        </is>
      </c>
      <c r="B375" s="149" t="inlineStr">
        <is>
          <t>1.4.1.1</t>
        </is>
      </c>
      <c r="C375" s="149" t="inlineStr">
        <is>
          <t>Company register</t>
        </is>
      </c>
      <c r="D375" s="149" t="inlineStr"/>
      <c r="E375" s="149" t="inlineStr">
        <is>
          <t>FOLDER</t>
        </is>
      </c>
    </row>
    <row r="376">
      <c r="A376" t="inlineStr">
        <is>
          <t>Project Notos</t>
        </is>
      </c>
      <c r="B376" t="inlineStr">
        <is>
          <t>1.4.1.1.1</t>
        </is>
      </c>
      <c r="C376" t="inlineStr"/>
      <c r="D376" t="inlineStr">
        <is>
          <t>FT_commercial register excerpt_chronologically_260223</t>
        </is>
      </c>
      <c r="E376" t="inlineStr">
        <is>
          <t>DOCUMENT</t>
        </is>
      </c>
    </row>
    <row r="377">
      <c r="A377" t="inlineStr">
        <is>
          <t>Project Notos</t>
        </is>
      </c>
      <c r="B377" t="inlineStr">
        <is>
          <t>1.4.1.1.2</t>
        </is>
      </c>
      <c r="C377" t="inlineStr"/>
      <c r="D377" t="inlineStr">
        <is>
          <t>FT_commercial register excerpt_historically_260223</t>
        </is>
      </c>
      <c r="E377" t="inlineStr">
        <is>
          <t>DOCUMENT</t>
        </is>
      </c>
    </row>
    <row r="378">
      <c r="A378" s="149" t="inlineStr">
        <is>
          <t>Project Notos</t>
        </is>
      </c>
      <c r="B378" s="149" t="inlineStr">
        <is>
          <t>1.4.1.2</t>
        </is>
      </c>
      <c r="C378" s="149" t="inlineStr">
        <is>
          <t>Articles of association</t>
        </is>
      </c>
      <c r="D378" s="149" t="inlineStr"/>
      <c r="E378" s="149" t="inlineStr">
        <is>
          <t>FOLDER</t>
        </is>
      </c>
    </row>
    <row r="379">
      <c r="A379" t="inlineStr">
        <is>
          <t>Project Notos</t>
        </is>
      </c>
      <c r="B379" t="inlineStr">
        <is>
          <t>1.4.1.2.1</t>
        </is>
      </c>
      <c r="C379" t="inlineStr"/>
      <c r="D379" t="inlineStr">
        <is>
          <t>FT_AoA, incorporation_970505</t>
        </is>
      </c>
      <c r="E379" t="inlineStr">
        <is>
          <t>DOCUMENT</t>
        </is>
      </c>
    </row>
    <row r="380">
      <c r="A380" t="inlineStr">
        <is>
          <t>Project Notos</t>
        </is>
      </c>
      <c r="B380" t="inlineStr">
        <is>
          <t>1.4.1.2.2</t>
        </is>
      </c>
      <c r="C380" t="inlineStr"/>
      <c r="D380" t="inlineStr">
        <is>
          <t>FT_AoA_211006</t>
        </is>
      </c>
      <c r="E380" t="inlineStr">
        <is>
          <t>DOCUMENT</t>
        </is>
      </c>
    </row>
    <row r="381">
      <c r="A381" t="inlineStr">
        <is>
          <t>Project Notos</t>
        </is>
      </c>
      <c r="B381" t="inlineStr">
        <is>
          <t>1.4.1.2.3</t>
        </is>
      </c>
      <c r="C381" t="inlineStr"/>
      <c r="D381" t="inlineStr">
        <is>
          <t>FT_AoA_191111</t>
        </is>
      </c>
      <c r="E381" t="inlineStr">
        <is>
          <t>DOCUMENT</t>
        </is>
      </c>
    </row>
    <row r="382">
      <c r="A382" t="inlineStr">
        <is>
          <t>Project Notos</t>
        </is>
      </c>
      <c r="B382" t="inlineStr">
        <is>
          <t>1.4.1.2.4</t>
        </is>
      </c>
      <c r="C382" t="inlineStr"/>
      <c r="D382" t="inlineStr">
        <is>
          <t>FT_AoA_200813</t>
        </is>
      </c>
      <c r="E382" t="inlineStr">
        <is>
          <t>DOCUMENT</t>
        </is>
      </c>
    </row>
    <row r="383">
      <c r="A383" t="inlineStr">
        <is>
          <t>Project Notos</t>
        </is>
      </c>
      <c r="B383" t="inlineStr">
        <is>
          <t>1.4.1.2.5</t>
        </is>
      </c>
      <c r="C383" t="inlineStr"/>
      <c r="D383" t="inlineStr">
        <is>
          <t>FT_AoA_201023</t>
        </is>
      </c>
      <c r="E383" t="inlineStr">
        <is>
          <t>DOCUMENT</t>
        </is>
      </c>
    </row>
    <row r="384">
      <c r="A384" t="inlineStr">
        <is>
          <t>Project Notos</t>
        </is>
      </c>
      <c r="B384" t="inlineStr">
        <is>
          <t>1.4.1.2.6</t>
        </is>
      </c>
      <c r="C384" t="inlineStr"/>
      <c r="D384" t="inlineStr">
        <is>
          <t>FT_AoA_011211</t>
        </is>
      </c>
      <c r="E384" t="inlineStr">
        <is>
          <t>DOCUMENT</t>
        </is>
      </c>
    </row>
    <row r="385">
      <c r="A385" t="inlineStr">
        <is>
          <t>Project Notos</t>
        </is>
      </c>
      <c r="B385" t="inlineStr">
        <is>
          <t>1.4.1.2.7</t>
        </is>
      </c>
      <c r="C385" t="inlineStr"/>
      <c r="D385" t="inlineStr">
        <is>
          <t>FT_AoA_060828</t>
        </is>
      </c>
      <c r="E385" t="inlineStr">
        <is>
          <t>DOCUMENT</t>
        </is>
      </c>
    </row>
    <row r="386">
      <c r="A386" t="inlineStr">
        <is>
          <t>Project Notos</t>
        </is>
      </c>
      <c r="B386" t="inlineStr">
        <is>
          <t>1.4.1.2.8</t>
        </is>
      </c>
      <c r="C386" t="inlineStr"/>
      <c r="D386" t="inlineStr">
        <is>
          <t>FT_AoA_970912</t>
        </is>
      </c>
      <c r="E386" t="inlineStr">
        <is>
          <t>DOCUMENT</t>
        </is>
      </c>
    </row>
    <row r="387">
      <c r="A387" s="149" t="inlineStr">
        <is>
          <t>Project Notos</t>
        </is>
      </c>
      <c r="B387" s="149" t="inlineStr">
        <is>
          <t>1.4.1.3</t>
        </is>
      </c>
      <c r="C387" s="149" t="inlineStr">
        <is>
          <t>Chain of title</t>
        </is>
      </c>
      <c r="D387" s="149" t="inlineStr"/>
      <c r="E387" s="149" t="inlineStr">
        <is>
          <t>FOLDER</t>
        </is>
      </c>
    </row>
    <row r="388">
      <c r="A388" t="inlineStr">
        <is>
          <t>Project Notos</t>
        </is>
      </c>
      <c r="B388" t="inlineStr">
        <is>
          <t>1.4.1.3.1</t>
        </is>
      </c>
      <c r="C388" t="inlineStr"/>
      <c r="D388" t="inlineStr">
        <is>
          <t>FT_shareholders list_130213</t>
        </is>
      </c>
      <c r="E388" t="inlineStr">
        <is>
          <t>DOCUMENT</t>
        </is>
      </c>
    </row>
    <row r="389">
      <c r="A389" t="inlineStr">
        <is>
          <t>Project Notos</t>
        </is>
      </c>
      <c r="B389" t="inlineStr">
        <is>
          <t>1.4.1.3.2</t>
        </is>
      </c>
      <c r="C389" t="inlineStr"/>
      <c r="D389" t="inlineStr">
        <is>
          <t>FT_shareholders list_130328</t>
        </is>
      </c>
      <c r="E389" t="inlineStr">
        <is>
          <t>DOCUMENT</t>
        </is>
      </c>
    </row>
    <row r="390">
      <c r="A390" t="inlineStr">
        <is>
          <t>Project Notos</t>
        </is>
      </c>
      <c r="B390" t="inlineStr">
        <is>
          <t>1.4.1.3.3</t>
        </is>
      </c>
      <c r="C390" t="inlineStr"/>
      <c r="D390" t="inlineStr">
        <is>
          <t>FT_shareholders list_140313</t>
        </is>
      </c>
      <c r="E390" t="inlineStr">
        <is>
          <t>DOCUMENT</t>
        </is>
      </c>
    </row>
    <row r="391">
      <c r="A391" t="inlineStr">
        <is>
          <t>Project Notos</t>
        </is>
      </c>
      <c r="B391" t="inlineStr">
        <is>
          <t>1.4.1.3.4</t>
        </is>
      </c>
      <c r="C391" t="inlineStr"/>
      <c r="D391" t="inlineStr">
        <is>
          <t>FT_shareholders list_140306</t>
        </is>
      </c>
      <c r="E391" t="inlineStr">
        <is>
          <t>DOCUMENT</t>
        </is>
      </c>
    </row>
    <row r="392">
      <c r="A392" t="inlineStr">
        <is>
          <t>Project Notos</t>
        </is>
      </c>
      <c r="B392" t="inlineStr">
        <is>
          <t>1.4.1.3.5</t>
        </is>
      </c>
      <c r="C392" t="inlineStr"/>
      <c r="D392" t="inlineStr">
        <is>
          <t>FT_shareholders list_181130</t>
        </is>
      </c>
      <c r="E392" t="inlineStr">
        <is>
          <t>DOCUMENT</t>
        </is>
      </c>
    </row>
    <row r="393">
      <c r="A393" t="inlineStr">
        <is>
          <t>Project Notos</t>
        </is>
      </c>
      <c r="B393" t="inlineStr">
        <is>
          <t>1.4.1.3.6</t>
        </is>
      </c>
      <c r="C393" t="inlineStr"/>
      <c r="D393" t="inlineStr">
        <is>
          <t>FT_shareholders list_201023</t>
        </is>
      </c>
      <c r="E393" t="inlineStr">
        <is>
          <t>DOCUMENT</t>
        </is>
      </c>
    </row>
    <row r="394">
      <c r="A394" t="inlineStr">
        <is>
          <t>Project Notos</t>
        </is>
      </c>
      <c r="B394" t="inlineStr">
        <is>
          <t>1.4.1.3.7</t>
        </is>
      </c>
      <c r="C394" t="inlineStr"/>
      <c r="D394" t="inlineStr">
        <is>
          <t>FT_shareholders list_210824</t>
        </is>
      </c>
      <c r="E394" t="inlineStr">
        <is>
          <t>DOCUMENT</t>
        </is>
      </c>
    </row>
    <row r="395">
      <c r="A395" t="inlineStr">
        <is>
          <t>Project Notos</t>
        </is>
      </c>
      <c r="B395" t="inlineStr">
        <is>
          <t>1.4.1.3.8</t>
        </is>
      </c>
      <c r="C395" t="inlineStr"/>
      <c r="D395" t="inlineStr">
        <is>
          <t>FT_shareholders list_080114</t>
        </is>
      </c>
      <c r="E395" t="inlineStr">
        <is>
          <t>DOCUMENT</t>
        </is>
      </c>
    </row>
    <row r="396">
      <c r="A396" t="inlineStr">
        <is>
          <t>Project Notos</t>
        </is>
      </c>
      <c r="B396" t="inlineStr">
        <is>
          <t>1.4.1.3.9</t>
        </is>
      </c>
      <c r="C396" t="inlineStr"/>
      <c r="D396" t="inlineStr">
        <is>
          <t>FT_SR_consent SPA Schmidt Metal_201021</t>
        </is>
      </c>
      <c r="E396" t="inlineStr">
        <is>
          <t>DOCUMENT</t>
        </is>
      </c>
    </row>
    <row r="397">
      <c r="A397" t="inlineStr">
        <is>
          <t>Project Notos</t>
        </is>
      </c>
      <c r="B397" t="inlineStr">
        <is>
          <t>1.4.1.3.10</t>
        </is>
      </c>
      <c r="C397" t="inlineStr"/>
      <c r="D397" t="inlineStr">
        <is>
          <t>FT_BR_consent SPA Schmidt Metal_201021</t>
        </is>
      </c>
      <c r="E397" t="inlineStr">
        <is>
          <t>DOCUMENT</t>
        </is>
      </c>
    </row>
    <row r="398">
      <c r="A398" t="inlineStr">
        <is>
          <t>Project Notos</t>
        </is>
      </c>
      <c r="B398" t="inlineStr">
        <is>
          <t>1.4.1.3.11</t>
        </is>
      </c>
      <c r="C398" t="inlineStr"/>
      <c r="D398" t="inlineStr">
        <is>
          <t>FT_shareholders list_970505</t>
        </is>
      </c>
      <c r="E398" t="inlineStr">
        <is>
          <t>DOCUMENT</t>
        </is>
      </c>
    </row>
    <row r="399">
      <c r="A399" t="inlineStr">
        <is>
          <t>Project Notos</t>
        </is>
      </c>
      <c r="B399" t="inlineStr">
        <is>
          <t>1.4.1.3.12</t>
        </is>
      </c>
      <c r="C399" t="inlineStr"/>
      <c r="D399" t="inlineStr">
        <is>
          <t>FT_shareholders list_980211</t>
        </is>
      </c>
      <c r="E399" t="inlineStr">
        <is>
          <t>DOCUMENT</t>
        </is>
      </c>
    </row>
    <row r="400">
      <c r="A400" t="inlineStr">
        <is>
          <t>Project Notos</t>
        </is>
      </c>
      <c r="B400" t="inlineStr">
        <is>
          <t>1.4.1.3.13</t>
        </is>
      </c>
      <c r="C400" t="inlineStr"/>
      <c r="D400" t="inlineStr">
        <is>
          <t>FT_shareholders list_141230</t>
        </is>
      </c>
      <c r="E400" t="inlineStr">
        <is>
          <t>DOCUMENT</t>
        </is>
      </c>
    </row>
    <row r="401">
      <c r="A401" t="inlineStr">
        <is>
          <t>Project Notos</t>
        </is>
      </c>
      <c r="B401" t="inlineStr">
        <is>
          <t>1.4.1.3.14</t>
        </is>
      </c>
      <c r="C401" t="inlineStr"/>
      <c r="D401" t="inlineStr">
        <is>
          <t>FT_SPA_2657-2014 T_Sapa Holding_141218</t>
        </is>
      </c>
      <c r="E401" t="inlineStr">
        <is>
          <t>DOCUMENT</t>
        </is>
      </c>
    </row>
    <row r="402">
      <c r="A402" t="inlineStr">
        <is>
          <t>Project Notos</t>
        </is>
      </c>
      <c r="B402" t="inlineStr">
        <is>
          <t>1.4.1.3.15</t>
        </is>
      </c>
      <c r="C402" t="inlineStr"/>
      <c r="D402" t="inlineStr">
        <is>
          <t>FT_SR re consent to sale of shares_Sapa Holding_141222</t>
        </is>
      </c>
      <c r="E402" t="inlineStr">
        <is>
          <t>DOCUMENT</t>
        </is>
      </c>
    </row>
    <row r="403">
      <c r="A403" t="inlineStr">
        <is>
          <t>Project Notos</t>
        </is>
      </c>
      <c r="B403" t="inlineStr">
        <is>
          <t>1.4.1.3.16</t>
        </is>
      </c>
      <c r="C403" t="inlineStr"/>
      <c r="D403" t="inlineStr">
        <is>
          <t>FT_SPA_W 1871-2020_Rupert Fertinger_201001</t>
        </is>
      </c>
      <c r="E403" t="inlineStr">
        <is>
          <t>DOCUMENT</t>
        </is>
      </c>
    </row>
    <row r="404">
      <c r="A404" t="inlineStr">
        <is>
          <t>Project Notos</t>
        </is>
      </c>
      <c r="B404" t="inlineStr">
        <is>
          <t>1.4.1.3.17</t>
        </is>
      </c>
      <c r="C404" t="inlineStr"/>
      <c r="D404" t="inlineStr">
        <is>
          <t>FT_STAA_W 2049-2020_201023</t>
        </is>
      </c>
      <c r="E404" t="inlineStr">
        <is>
          <t>DOCUMENT</t>
        </is>
      </c>
    </row>
    <row r="405">
      <c r="A405" t="inlineStr">
        <is>
          <t>Project Notos</t>
        </is>
      </c>
      <c r="B405" t="inlineStr">
        <is>
          <t>1.4.1.3.18</t>
        </is>
      </c>
      <c r="C405" t="inlineStr"/>
      <c r="D405" t="inlineStr">
        <is>
          <t>FT_share transfer agreement_140221</t>
        </is>
      </c>
      <c r="E405" t="inlineStr">
        <is>
          <t>DOCUMENT</t>
        </is>
      </c>
    </row>
    <row r="406">
      <c r="A406" s="149" t="inlineStr">
        <is>
          <t>Project Notos</t>
        </is>
      </c>
      <c r="B406" s="149" t="inlineStr">
        <is>
          <t>1.4.1.4</t>
        </is>
      </c>
      <c r="C406" s="149" t="inlineStr">
        <is>
          <t>Company agreements</t>
        </is>
      </c>
      <c r="D406" s="149" t="inlineStr"/>
      <c r="E406" s="149" t="inlineStr">
        <is>
          <t>FOLDER</t>
        </is>
      </c>
    </row>
    <row r="407">
      <c r="A407" t="inlineStr">
        <is>
          <t>Project Notos</t>
        </is>
      </c>
      <c r="B407" t="inlineStr">
        <is>
          <t>1.4.1.4.1</t>
        </is>
      </c>
      <c r="C407" t="inlineStr"/>
      <c r="D407" t="inlineStr">
        <is>
          <t>FT_profit transfer agreement_150825</t>
        </is>
      </c>
      <c r="E407" t="inlineStr">
        <is>
          <t>DOCUMENT</t>
        </is>
      </c>
    </row>
    <row r="408">
      <c r="A408" t="inlineStr">
        <is>
          <t>Project Notos</t>
        </is>
      </c>
      <c r="B408" t="inlineStr">
        <is>
          <t>1.4.1.4.2</t>
        </is>
      </c>
      <c r="C408" t="inlineStr"/>
      <c r="D408" t="inlineStr">
        <is>
          <t>FT_termination agreement_200923</t>
        </is>
      </c>
      <c r="E408" t="inlineStr">
        <is>
          <t>DOCUMENT</t>
        </is>
      </c>
    </row>
    <row r="409">
      <c r="A409" t="inlineStr">
        <is>
          <t>Project Notos</t>
        </is>
      </c>
      <c r="B409" t="inlineStr">
        <is>
          <t>1.4.1.4.3</t>
        </is>
      </c>
      <c r="C409" t="inlineStr"/>
      <c r="D409" t="inlineStr">
        <is>
          <t>FT_service agreement_241230</t>
        </is>
      </c>
      <c r="E409" t="inlineStr">
        <is>
          <t>DOCUMENT</t>
        </is>
      </c>
    </row>
    <row r="410">
      <c r="A410" s="149" t="inlineStr">
        <is>
          <t>Project Notos</t>
        </is>
      </c>
      <c r="B410" s="149" t="inlineStr">
        <is>
          <t>1.4.1.5</t>
        </is>
      </c>
      <c r="C410" s="149" t="inlineStr">
        <is>
          <t>Miscellaneous</t>
        </is>
      </c>
      <c r="D410" s="149" t="inlineStr"/>
      <c r="E410" s="149" t="inlineStr">
        <is>
          <t>FOLDER</t>
        </is>
      </c>
    </row>
    <row r="411">
      <c r="A411" t="inlineStr">
        <is>
          <t>Project Notos</t>
        </is>
      </c>
      <c r="B411" t="inlineStr">
        <is>
          <t>1.4.1.5.1</t>
        </is>
      </c>
      <c r="C411" t="inlineStr"/>
      <c r="D411" t="inlineStr">
        <is>
          <t>FT_machinery lease_230101</t>
        </is>
      </c>
      <c r="E411" t="inlineStr">
        <is>
          <t>DOCUMENT</t>
        </is>
      </c>
    </row>
    <row r="412">
      <c r="A412" t="inlineStr">
        <is>
          <t>Project Notos</t>
        </is>
      </c>
      <c r="B412" t="inlineStr">
        <is>
          <t>1.4.1.5.2</t>
        </is>
      </c>
      <c r="C412" t="inlineStr"/>
      <c r="D412" t="inlineStr">
        <is>
          <t>FT_Gewerbe-Ummeldung</t>
        </is>
      </c>
      <c r="E412" t="inlineStr">
        <is>
          <t>DOCUMENT</t>
        </is>
      </c>
    </row>
    <row r="413">
      <c r="A413" s="149" t="inlineStr">
        <is>
          <t>Project Notos</t>
        </is>
      </c>
      <c r="B413" s="149" t="inlineStr">
        <is>
          <t>1.4.1.6</t>
        </is>
      </c>
      <c r="C413" s="149" t="inlineStr">
        <is>
          <t>Shareholder resolutions</t>
        </is>
      </c>
      <c r="D413" s="149" t="inlineStr"/>
      <c r="E413" s="149" t="inlineStr">
        <is>
          <t>FOLDER</t>
        </is>
      </c>
    </row>
    <row r="414">
      <c r="A414" t="inlineStr">
        <is>
          <t>Project Notos</t>
        </is>
      </c>
      <c r="B414" t="inlineStr">
        <is>
          <t>1.4.1.6.1</t>
        </is>
      </c>
      <c r="C414" t="inlineStr"/>
      <c r="D414" t="inlineStr">
        <is>
          <t>FT_SR_150806</t>
        </is>
      </c>
      <c r="E414" t="inlineStr">
        <is>
          <t>DOCUMENT</t>
        </is>
      </c>
    </row>
    <row r="415">
      <c r="A415" t="inlineStr">
        <is>
          <t>Project Notos</t>
        </is>
      </c>
      <c r="B415" t="inlineStr">
        <is>
          <t>1.4.1.6.2</t>
        </is>
      </c>
      <c r="C415" t="inlineStr"/>
      <c r="D415" t="inlineStr">
        <is>
          <t>FT_SR_change of name_171121</t>
        </is>
      </c>
      <c r="E415" t="inlineStr">
        <is>
          <t>DOCUMENT</t>
        </is>
      </c>
    </row>
    <row r="416">
      <c r="A416" t="inlineStr">
        <is>
          <t>Project Notos</t>
        </is>
      </c>
      <c r="B416" t="inlineStr">
        <is>
          <t>1.4.1.6.3</t>
        </is>
      </c>
      <c r="C416" t="inlineStr"/>
      <c r="D416" t="inlineStr">
        <is>
          <t>FT_SR_site closure_200309</t>
        </is>
      </c>
      <c r="E416" t="inlineStr">
        <is>
          <t>DOCUMENT</t>
        </is>
      </c>
    </row>
    <row r="417">
      <c r="A417" t="inlineStr">
        <is>
          <t>Project Notos</t>
        </is>
      </c>
      <c r="B417" t="inlineStr">
        <is>
          <t>1.4.1.6.4</t>
        </is>
      </c>
      <c r="C417" t="inlineStr"/>
      <c r="D417" t="inlineStr">
        <is>
          <t>FT_resignation and release MD_201021</t>
        </is>
      </c>
      <c r="E417" t="inlineStr">
        <is>
          <t>DOCUMENT</t>
        </is>
      </c>
    </row>
    <row r="418">
      <c r="A418" t="inlineStr">
        <is>
          <t>Project Notos</t>
        </is>
      </c>
      <c r="B418" t="inlineStr">
        <is>
          <t>1.4.1.6.5</t>
        </is>
      </c>
      <c r="C418" t="inlineStr"/>
      <c r="D418" t="inlineStr">
        <is>
          <t>FT_SR_change of name_201023</t>
        </is>
      </c>
      <c r="E418" t="inlineStr">
        <is>
          <t>DOCUMENT</t>
        </is>
      </c>
    </row>
    <row r="419">
      <c r="A419" t="inlineStr">
        <is>
          <t>Project Notos</t>
        </is>
      </c>
      <c r="B419" t="inlineStr">
        <is>
          <t>1.4.1.6.6</t>
        </is>
      </c>
      <c r="C419" t="inlineStr"/>
      <c r="D419" t="inlineStr">
        <is>
          <t>FT_SR_short fiscal year_211006</t>
        </is>
      </c>
      <c r="E419" t="inlineStr">
        <is>
          <t>DOCUMENT</t>
        </is>
      </c>
    </row>
    <row r="420">
      <c r="A420" t="inlineStr">
        <is>
          <t>Project Notos</t>
        </is>
      </c>
      <c r="B420" t="inlineStr">
        <is>
          <t>1.4.1.6.7</t>
        </is>
      </c>
      <c r="C420" t="inlineStr"/>
      <c r="D420" t="inlineStr">
        <is>
          <t>FT_SR_220428</t>
        </is>
      </c>
      <c r="E420" t="inlineStr">
        <is>
          <t>DOCUMENT</t>
        </is>
      </c>
    </row>
    <row r="421">
      <c r="A421" t="inlineStr">
        <is>
          <t>Project Notos</t>
        </is>
      </c>
      <c r="B421" t="inlineStr">
        <is>
          <t>1.4.1.6.8</t>
        </is>
      </c>
      <c r="C421" t="inlineStr"/>
      <c r="D421" t="inlineStr">
        <is>
          <t>FT_SR_appointment MD_231129</t>
        </is>
      </c>
      <c r="E421" t="inlineStr">
        <is>
          <t>DOCUMENT</t>
        </is>
      </c>
    </row>
    <row r="422">
      <c r="A422" t="inlineStr">
        <is>
          <t>Project Notos</t>
        </is>
      </c>
      <c r="B422" t="inlineStr">
        <is>
          <t>1.4.1.6.9</t>
        </is>
      </c>
      <c r="C422" t="inlineStr"/>
      <c r="D422" t="inlineStr">
        <is>
          <t>FT_SR_241212</t>
        </is>
      </c>
      <c r="E422" t="inlineStr">
        <is>
          <t>DOCUMENT</t>
        </is>
      </c>
    </row>
    <row r="423">
      <c r="A423" t="inlineStr">
        <is>
          <t>Project Notos</t>
        </is>
      </c>
      <c r="B423" t="inlineStr">
        <is>
          <t>1.4.1.6.10</t>
        </is>
      </c>
      <c r="C423" t="inlineStr"/>
      <c r="D423" t="inlineStr">
        <is>
          <t>FT_SR_250916</t>
        </is>
      </c>
      <c r="E423" t="inlineStr">
        <is>
          <t>DOCUMENT</t>
        </is>
      </c>
    </row>
    <row r="424">
      <c r="A424" s="149" t="inlineStr">
        <is>
          <t>Project Notos</t>
        </is>
      </c>
      <c r="B424" s="149" t="inlineStr">
        <is>
          <t>1.4.2</t>
        </is>
      </c>
      <c r="C424" s="149" t="inlineStr">
        <is>
          <t>Commercial</t>
        </is>
      </c>
      <c r="D424" s="149" t="inlineStr"/>
      <c r="E424" s="149" t="inlineStr">
        <is>
          <t>FOLDER</t>
        </is>
      </c>
    </row>
    <row r="425">
      <c r="A425" s="149" t="inlineStr">
        <is>
          <t>Project Notos</t>
        </is>
      </c>
      <c r="B425" s="149" t="inlineStr">
        <is>
          <t>1.4.2.1</t>
        </is>
      </c>
      <c r="C425" s="149" t="inlineStr">
        <is>
          <t>General Terms and Conditions</t>
        </is>
      </c>
      <c r="D425" s="149" t="inlineStr"/>
      <c r="E425" s="149" t="inlineStr">
        <is>
          <t>FOLDER</t>
        </is>
      </c>
    </row>
    <row r="426">
      <c r="A426" t="inlineStr">
        <is>
          <t>Project Notos</t>
        </is>
      </c>
      <c r="B426" t="inlineStr">
        <is>
          <t>1.4.2.1.1</t>
        </is>
      </c>
      <c r="C426" t="inlineStr"/>
      <c r="D426" t="inlineStr">
        <is>
          <t>FT_general terms and conditions of sale</t>
        </is>
      </c>
      <c r="E426" t="inlineStr">
        <is>
          <t>DOCUMENT</t>
        </is>
      </c>
    </row>
    <row r="427">
      <c r="A427" s="149" t="inlineStr">
        <is>
          <t>Project Notos</t>
        </is>
      </c>
      <c r="B427" s="149" t="inlineStr">
        <is>
          <t>1.4.3</t>
        </is>
      </c>
      <c r="C427" s="149" t="inlineStr">
        <is>
          <t>Financing</t>
        </is>
      </c>
      <c r="D427" s="149" t="inlineStr"/>
      <c r="E427" s="149" t="inlineStr">
        <is>
          <t>FOLDER</t>
        </is>
      </c>
    </row>
    <row r="428">
      <c r="A428" s="149" t="inlineStr">
        <is>
          <t>Project Notos</t>
        </is>
      </c>
      <c r="B428" s="149" t="inlineStr">
        <is>
          <t>1.4.3.1</t>
        </is>
      </c>
      <c r="C428" s="149" t="inlineStr">
        <is>
          <t>UniCredit</t>
        </is>
      </c>
      <c r="D428" s="149" t="inlineStr"/>
      <c r="E428" s="149" t="inlineStr">
        <is>
          <t>FOLDER</t>
        </is>
      </c>
    </row>
    <row r="429">
      <c r="A429" t="inlineStr">
        <is>
          <t>Project Notos</t>
        </is>
      </c>
      <c r="B429" t="inlineStr">
        <is>
          <t>1.4.3.1.1</t>
        </is>
      </c>
      <c r="C429" t="inlineStr"/>
      <c r="D429" t="inlineStr">
        <is>
          <t>FT_loan agreement unicredit_220712</t>
        </is>
      </c>
      <c r="E429" t="inlineStr">
        <is>
          <t>DOCUMENT</t>
        </is>
      </c>
    </row>
    <row r="430">
      <c r="A430" t="inlineStr">
        <is>
          <t>Project Notos</t>
        </is>
      </c>
      <c r="B430" t="inlineStr">
        <is>
          <t>1.4.3.1.2</t>
        </is>
      </c>
      <c r="C430" t="inlineStr"/>
      <c r="D430" t="inlineStr">
        <is>
          <t>FT_loan agreement unicredit_230113</t>
        </is>
      </c>
      <c r="E430" t="inlineStr">
        <is>
          <t>DOCUMENT</t>
        </is>
      </c>
    </row>
    <row r="431">
      <c r="A431" t="inlineStr">
        <is>
          <t>Project Notos</t>
        </is>
      </c>
      <c r="B431" t="inlineStr">
        <is>
          <t>1.4.3.1.3</t>
        </is>
      </c>
      <c r="C431" t="inlineStr"/>
      <c r="D431" t="inlineStr">
        <is>
          <t>FT_addendum to loan agreement unicredit_240923</t>
        </is>
      </c>
      <c r="E431" t="inlineStr">
        <is>
          <t>DOCUMENT</t>
        </is>
      </c>
    </row>
    <row r="432">
      <c r="A432" s="149" t="inlineStr">
        <is>
          <t>Project Notos</t>
        </is>
      </c>
      <c r="B432" s="149" t="inlineStr">
        <is>
          <t>1.4.3.2</t>
        </is>
      </c>
      <c r="C432" s="149" t="inlineStr">
        <is>
          <t>Commerzbank</t>
        </is>
      </c>
      <c r="D432" s="149" t="inlineStr"/>
      <c r="E432" s="149" t="inlineStr">
        <is>
          <t>FOLDER</t>
        </is>
      </c>
    </row>
    <row r="433">
      <c r="A433" t="inlineStr">
        <is>
          <t>Project Notos</t>
        </is>
      </c>
      <c r="B433" t="inlineStr">
        <is>
          <t>1.4.3.2.1</t>
        </is>
      </c>
      <c r="C433" t="inlineStr"/>
      <c r="D433" t="inlineStr">
        <is>
          <t>FT_bank guarantee lease_250521</t>
        </is>
      </c>
      <c r="E433" t="inlineStr">
        <is>
          <t>DOCUMENT</t>
        </is>
      </c>
    </row>
    <row r="434">
      <c r="A434" s="149" t="inlineStr">
        <is>
          <t>Project Notos</t>
        </is>
      </c>
      <c r="B434" s="149" t="inlineStr">
        <is>
          <t>1.4.4</t>
        </is>
      </c>
      <c r="C434" s="149" t="inlineStr">
        <is>
          <t>Employment</t>
        </is>
      </c>
      <c r="D434" s="149" t="inlineStr"/>
      <c r="E434" s="149" t="inlineStr">
        <is>
          <t>FOLDER</t>
        </is>
      </c>
    </row>
    <row r="435">
      <c r="A435" s="149" t="inlineStr">
        <is>
          <t>Project Notos</t>
        </is>
      </c>
      <c r="B435" s="149" t="inlineStr">
        <is>
          <t>1.4.4.1</t>
        </is>
      </c>
      <c r="C435" s="149" t="inlineStr">
        <is>
          <t>Sample employment contracts</t>
        </is>
      </c>
      <c r="D435" s="149" t="inlineStr"/>
      <c r="E435" s="149" t="inlineStr">
        <is>
          <t>FOLDER</t>
        </is>
      </c>
    </row>
    <row r="436">
      <c r="A436" t="inlineStr">
        <is>
          <t>Project Notos</t>
        </is>
      </c>
      <c r="B436" t="inlineStr">
        <is>
          <t>1.4.4.1.1</t>
        </is>
      </c>
      <c r="C436" t="inlineStr"/>
      <c r="D436" t="inlineStr">
        <is>
          <t>FT_employment agreement template DIR</t>
        </is>
      </c>
      <c r="E436" t="inlineStr">
        <is>
          <t>DOCUMENT</t>
        </is>
      </c>
    </row>
    <row r="437">
      <c r="A437" t="inlineStr">
        <is>
          <t>Project Notos</t>
        </is>
      </c>
      <c r="B437" t="inlineStr">
        <is>
          <t>1.4.4.1.2</t>
        </is>
      </c>
      <c r="C437" t="inlineStr"/>
      <c r="D437" t="inlineStr">
        <is>
          <t>FT_employment agreement template OH</t>
        </is>
      </c>
      <c r="E437" t="inlineStr">
        <is>
          <t>DOCUMENT</t>
        </is>
      </c>
    </row>
    <row r="438">
      <c r="A438" s="149" t="inlineStr">
        <is>
          <t>Project Notos</t>
        </is>
      </c>
      <c r="B438" s="149" t="inlineStr">
        <is>
          <t>1.4.4.2</t>
        </is>
      </c>
      <c r="C438" s="149" t="inlineStr">
        <is>
          <t>Works agreements</t>
        </is>
      </c>
      <c r="D438" s="149" t="inlineStr"/>
      <c r="E438" s="149" t="inlineStr">
        <is>
          <t>FOLDER</t>
        </is>
      </c>
    </row>
    <row r="439">
      <c r="A439" t="inlineStr">
        <is>
          <t>Project Notos</t>
        </is>
      </c>
      <c r="B439" t="inlineStr">
        <is>
          <t>1.4.4.2.1</t>
        </is>
      </c>
      <c r="C439" t="inlineStr"/>
      <c r="D439" t="inlineStr">
        <is>
          <t>FT_agreement on holiday planning_241023</t>
        </is>
      </c>
      <c r="E439" t="inlineStr">
        <is>
          <t>DOCUMENT</t>
        </is>
      </c>
    </row>
    <row r="440">
      <c r="A440" t="inlineStr">
        <is>
          <t>Project Notos</t>
        </is>
      </c>
      <c r="B440" t="inlineStr">
        <is>
          <t>1.4.4.2.2</t>
        </is>
      </c>
      <c r="C440" t="inlineStr"/>
      <c r="D440" t="inlineStr">
        <is>
          <t>FT_agreement on mobile work_231221</t>
        </is>
      </c>
      <c r="E440" t="inlineStr">
        <is>
          <t>DOCUMENT</t>
        </is>
      </c>
    </row>
    <row r="441">
      <c r="A441" t="inlineStr">
        <is>
          <t>Project Notos</t>
        </is>
      </c>
      <c r="B441" t="inlineStr">
        <is>
          <t>1.4.4.2.3</t>
        </is>
      </c>
      <c r="C441" t="inlineStr"/>
      <c r="D441" t="inlineStr">
        <is>
          <t>FT_agreement on short-time work_251205</t>
        </is>
      </c>
      <c r="E441" t="inlineStr">
        <is>
          <t>DOCUMENT</t>
        </is>
      </c>
    </row>
    <row r="442">
      <c r="A442" t="inlineStr">
        <is>
          <t>Project Notos</t>
        </is>
      </c>
      <c r="B442" t="inlineStr">
        <is>
          <t>1.4.4.2.4</t>
        </is>
      </c>
      <c r="C442" t="inlineStr"/>
      <c r="D442" t="inlineStr">
        <is>
          <t>FT_agreement on work clothing_250904</t>
        </is>
      </c>
      <c r="E442" t="inlineStr">
        <is>
          <t>DOCUMENT</t>
        </is>
      </c>
    </row>
    <row r="443">
      <c r="A443" s="149" t="inlineStr">
        <is>
          <t>Project Notos</t>
        </is>
      </c>
      <c r="B443" s="149" t="inlineStr">
        <is>
          <t>1.4.4.3</t>
        </is>
      </c>
      <c r="C443" s="149" t="inlineStr">
        <is>
          <t>Company agreements</t>
        </is>
      </c>
      <c r="D443" s="149" t="inlineStr"/>
      <c r="E443" s="149" t="inlineStr">
        <is>
          <t>FOLDER</t>
        </is>
      </c>
    </row>
    <row r="444">
      <c r="A444" t="inlineStr">
        <is>
          <t>Project Notos</t>
        </is>
      </c>
      <c r="B444" t="inlineStr">
        <is>
          <t>1.4.4.3.1</t>
        </is>
      </c>
      <c r="C444" t="inlineStr"/>
      <c r="D444" t="inlineStr">
        <is>
          <t>FT_works agreement on short-term work 2026</t>
        </is>
      </c>
      <c r="E444" t="inlineStr">
        <is>
          <t>DOCUMENT</t>
        </is>
      </c>
    </row>
    <row r="445">
      <c r="A445" t="inlineStr">
        <is>
          <t>Project Notos</t>
        </is>
      </c>
      <c r="B445" t="inlineStr">
        <is>
          <t>1.4.4.3.2</t>
        </is>
      </c>
      <c r="C445" t="inlineStr"/>
      <c r="D445" t="inlineStr">
        <is>
          <t>FT_works agreement_vacation planning new 20241023</t>
        </is>
      </c>
      <c r="E445" t="inlineStr">
        <is>
          <t>DOCUMENT</t>
        </is>
      </c>
    </row>
    <row r="446">
      <c r="A446" t="inlineStr">
        <is>
          <t>Project Notos</t>
        </is>
      </c>
      <c r="B446" t="inlineStr">
        <is>
          <t>1.4.4.3.3</t>
        </is>
      </c>
      <c r="C446" t="inlineStr"/>
      <c r="D446" t="inlineStr">
        <is>
          <t>FT_works agreement_work clothing valid_20250904</t>
        </is>
      </c>
      <c r="E446" t="inlineStr">
        <is>
          <t>DOCUMENT</t>
        </is>
      </c>
    </row>
    <row r="447">
      <c r="A447" t="inlineStr">
        <is>
          <t>Project Notos</t>
        </is>
      </c>
      <c r="B447" t="inlineStr">
        <is>
          <t>1.4.4.3.4</t>
        </is>
      </c>
      <c r="C447" t="inlineStr"/>
      <c r="D447" t="inlineStr">
        <is>
          <t>FT_signed work agreement_mobile work</t>
        </is>
      </c>
      <c r="E447" t="inlineStr">
        <is>
          <t>DOCUMENT</t>
        </is>
      </c>
    </row>
    <row r="448">
      <c r="A448" s="149" t="inlineStr">
        <is>
          <t>Project Notos</t>
        </is>
      </c>
      <c r="B448" s="149" t="inlineStr">
        <is>
          <t>1.4.4.4</t>
        </is>
      </c>
      <c r="C448" s="149" t="inlineStr">
        <is>
          <t>Data protection officer</t>
        </is>
      </c>
      <c r="D448" s="149" t="inlineStr"/>
      <c r="E448" s="149" t="inlineStr">
        <is>
          <t>FOLDER</t>
        </is>
      </c>
    </row>
    <row r="449">
      <c r="A449" t="inlineStr">
        <is>
          <t>Project Notos</t>
        </is>
      </c>
      <c r="B449" t="inlineStr">
        <is>
          <t>1.4.4.4.1</t>
        </is>
      </c>
      <c r="C449" t="inlineStr"/>
      <c r="D449" t="inlineStr">
        <is>
          <t>Datenschutzbeauftragter</t>
        </is>
      </c>
      <c r="E449" t="inlineStr">
        <is>
          <t>DOCUMENT</t>
        </is>
      </c>
    </row>
    <row r="450">
      <c r="A450" s="149" t="inlineStr">
        <is>
          <t>Project Notos</t>
        </is>
      </c>
      <c r="B450" s="149" t="inlineStr">
        <is>
          <t>1.4.4.5</t>
        </is>
      </c>
      <c r="C450" s="149" t="inlineStr">
        <is>
          <t>List of personnel</t>
        </is>
      </c>
      <c r="D450" s="149" t="inlineStr"/>
      <c r="E450" s="149" t="inlineStr">
        <is>
          <t>FOLDER</t>
        </is>
      </c>
    </row>
    <row r="451">
      <c r="A451" s="3" t="inlineStr">
        <is>
          <t>Project Notos</t>
        </is>
      </c>
      <c r="B451" s="3" t="inlineStr">
        <is>
          <t>1.4.4.5.1</t>
        </is>
      </c>
      <c r="C451" s="3" t="inlineStr"/>
      <c r="D451" s="3" t="inlineStr">
        <is>
          <t>To come</t>
        </is>
      </c>
      <c r="E451" s="3" t="inlineStr">
        <is>
          <t>PLACEHOLDER</t>
        </is>
      </c>
    </row>
    <row r="452">
      <c r="A452" s="149" t="inlineStr">
        <is>
          <t>Project Notos</t>
        </is>
      </c>
      <c r="B452" s="149" t="inlineStr">
        <is>
          <t>1.4.5</t>
        </is>
      </c>
      <c r="C452" s="149" t="inlineStr">
        <is>
          <t>Real Estate</t>
        </is>
      </c>
      <c r="D452" s="149" t="inlineStr"/>
      <c r="E452" s="149" t="inlineStr">
        <is>
          <t>FOLDER</t>
        </is>
      </c>
    </row>
    <row r="453">
      <c r="A453" s="149" t="inlineStr">
        <is>
          <t>Project Notos</t>
        </is>
      </c>
      <c r="B453" s="149" t="inlineStr">
        <is>
          <t>1.4.5.1</t>
        </is>
      </c>
      <c r="C453" s="149" t="inlineStr">
        <is>
          <t>Rental contract</t>
        </is>
      </c>
      <c r="D453" s="149" t="inlineStr"/>
      <c r="E453" s="149" t="inlineStr">
        <is>
          <t>FOLDER</t>
        </is>
      </c>
    </row>
    <row r="454">
      <c r="A454" t="inlineStr">
        <is>
          <t>Project Notos</t>
        </is>
      </c>
      <c r="B454" t="inlineStr">
        <is>
          <t>1.4.5.1.1</t>
        </is>
      </c>
      <c r="C454" t="inlineStr"/>
      <c r="D454" t="inlineStr">
        <is>
          <t>FT_Lease incl. annexes 2025</t>
        </is>
      </c>
      <c r="E454" t="inlineStr">
        <is>
          <t>DOCUMENT</t>
        </is>
      </c>
    </row>
    <row r="455">
      <c r="A455" t="inlineStr">
        <is>
          <t>Project Notos</t>
        </is>
      </c>
      <c r="B455" t="inlineStr">
        <is>
          <t>1.4.5.1.2</t>
        </is>
      </c>
      <c r="C455" t="inlineStr"/>
      <c r="D455" t="inlineStr">
        <is>
          <t>FT_FPE14-Index 01012026</t>
        </is>
      </c>
      <c r="E455" t="inlineStr">
        <is>
          <t>DOCUMENT</t>
        </is>
      </c>
    </row>
    <row r="456">
      <c r="A456" s="149" t="inlineStr">
        <is>
          <t>Project Notos</t>
        </is>
      </c>
      <c r="B456" s="149" t="inlineStr">
        <is>
          <t>1.4.6</t>
        </is>
      </c>
      <c r="C456" s="149" t="inlineStr">
        <is>
          <t>Insurance</t>
        </is>
      </c>
      <c r="D456" s="149" t="inlineStr"/>
      <c r="E456" s="149" t="inlineStr">
        <is>
          <t>FOLDER</t>
        </is>
      </c>
    </row>
    <row r="457">
      <c r="A457" t="inlineStr">
        <is>
          <t>Project Notos</t>
        </is>
      </c>
      <c r="B457" t="inlineStr">
        <is>
          <t>1.4.6.1</t>
        </is>
      </c>
      <c r="C457" t="inlineStr"/>
      <c r="D457" t="inlineStr">
        <is>
          <t>FT_insurance HDI 2026_260127</t>
        </is>
      </c>
      <c r="E457" t="inlineStr">
        <is>
          <t>DOCUMENT</t>
        </is>
      </c>
    </row>
    <row r="458">
      <c r="A458" t="inlineStr">
        <is>
          <t>Project Notos</t>
        </is>
      </c>
      <c r="B458" t="inlineStr">
        <is>
          <t>1.4.6.2</t>
        </is>
      </c>
      <c r="C458" t="inlineStr"/>
      <c r="D458" t="inlineStr">
        <is>
          <t>FT_liability insurance HDI 2025_241202</t>
        </is>
      </c>
      <c r="E458" t="inlineStr">
        <is>
          <t>DOCUMENT</t>
        </is>
      </c>
    </row>
    <row r="459">
      <c r="A459" s="149" t="inlineStr">
        <is>
          <t>Project Notos</t>
        </is>
      </c>
      <c r="B459" s="149" t="inlineStr">
        <is>
          <t>1.4.7</t>
        </is>
      </c>
      <c r="C459" s="149" t="inlineStr">
        <is>
          <t>Permits</t>
        </is>
      </c>
      <c r="D459" s="149" t="inlineStr"/>
      <c r="E459" s="149" t="inlineStr">
        <is>
          <t>FOLDER</t>
        </is>
      </c>
    </row>
    <row r="460">
      <c r="A460" t="inlineStr">
        <is>
          <t>Project Notos</t>
        </is>
      </c>
      <c r="B460" t="inlineStr">
        <is>
          <t>1.4.7.1</t>
        </is>
      </c>
      <c r="C460" t="inlineStr"/>
      <c r="D460" t="inlineStr">
        <is>
          <t>RF_Excerpt from the business directory</t>
        </is>
      </c>
      <c r="E460" t="inlineStr">
        <is>
          <t>DOCUMENT</t>
        </is>
      </c>
    </row>
    <row r="461">
      <c r="A461" s="149" t="inlineStr">
        <is>
          <t>Project Notos</t>
        </is>
      </c>
      <c r="B461" s="149" t="inlineStr">
        <is>
          <t>1.5</t>
        </is>
      </c>
      <c r="C461" s="149" t="inlineStr">
        <is>
          <t>Innerio Group GmbH (IG)</t>
        </is>
      </c>
      <c r="D461" s="149" t="inlineStr"/>
      <c r="E461" s="149" t="inlineStr">
        <is>
          <t>FOLDER</t>
        </is>
      </c>
    </row>
    <row r="462">
      <c r="A462" s="149" t="inlineStr">
        <is>
          <t>Project Notos</t>
        </is>
      </c>
      <c r="B462" s="149" t="inlineStr">
        <is>
          <t>1.5.1</t>
        </is>
      </c>
      <c r="C462" s="149" t="inlineStr">
        <is>
          <t>Corporate</t>
        </is>
      </c>
      <c r="D462" s="149" t="inlineStr"/>
      <c r="E462" s="149" t="inlineStr">
        <is>
          <t>FOLDER</t>
        </is>
      </c>
    </row>
    <row r="463">
      <c r="A463" s="149" t="inlineStr">
        <is>
          <t>Project Notos</t>
        </is>
      </c>
      <c r="B463" s="149" t="inlineStr">
        <is>
          <t>1.5.1.1</t>
        </is>
      </c>
      <c r="C463" s="149" t="inlineStr">
        <is>
          <t>Company register</t>
        </is>
      </c>
      <c r="D463" s="149" t="inlineStr"/>
      <c r="E463" s="149" t="inlineStr">
        <is>
          <t>FOLDER</t>
        </is>
      </c>
    </row>
    <row r="464">
      <c r="A464" t="inlineStr">
        <is>
          <t>Project Notos</t>
        </is>
      </c>
      <c r="B464" t="inlineStr">
        <is>
          <t>1.5.1.1.1</t>
        </is>
      </c>
      <c r="C464" t="inlineStr"/>
      <c r="D464" t="inlineStr">
        <is>
          <t>IG_company register_251031</t>
        </is>
      </c>
      <c r="E464" t="inlineStr">
        <is>
          <t>DOCUMENT</t>
        </is>
      </c>
    </row>
    <row r="465">
      <c r="A465" t="inlineStr">
        <is>
          <t>Project Notos</t>
        </is>
      </c>
      <c r="B465" t="inlineStr">
        <is>
          <t>1.5.1.1.2</t>
        </is>
      </c>
      <c r="C465" t="inlineStr"/>
      <c r="D465" t="inlineStr">
        <is>
          <t>IG_company register_20260302</t>
        </is>
      </c>
      <c r="E465" t="inlineStr">
        <is>
          <t>DOCUMENT</t>
        </is>
      </c>
    </row>
    <row r="466">
      <c r="A466" s="149" t="inlineStr">
        <is>
          <t>Project Notos</t>
        </is>
      </c>
      <c r="B466" s="149" t="inlineStr">
        <is>
          <t>1.5.1.2</t>
        </is>
      </c>
      <c r="C466" s="149" t="inlineStr">
        <is>
          <t>Articles of association</t>
        </is>
      </c>
      <c r="D466" s="149" t="inlineStr"/>
      <c r="E466" s="149" t="inlineStr">
        <is>
          <t>FOLDER</t>
        </is>
      </c>
    </row>
    <row r="467">
      <c r="A467" t="inlineStr">
        <is>
          <t>Project Notos</t>
        </is>
      </c>
      <c r="B467" t="inlineStr">
        <is>
          <t>1.5.1.2.1</t>
        </is>
      </c>
      <c r="C467" t="inlineStr"/>
      <c r="D467" t="inlineStr">
        <is>
          <t>IG_articles of association_20240618</t>
        </is>
      </c>
      <c r="E467" t="inlineStr">
        <is>
          <t>DOCUMENT</t>
        </is>
      </c>
    </row>
    <row r="468">
      <c r="A468" s="149" t="inlineStr">
        <is>
          <t>Project Notos</t>
        </is>
      </c>
      <c r="B468" s="149" t="inlineStr">
        <is>
          <t>1.5.1.3</t>
        </is>
      </c>
      <c r="C468" s="149" t="inlineStr">
        <is>
          <t>Shareholder documents</t>
        </is>
      </c>
      <c r="D468" s="149" t="inlineStr"/>
      <c r="E468" s="149" t="inlineStr">
        <is>
          <t>FOLDER</t>
        </is>
      </c>
    </row>
    <row r="469">
      <c r="A469" t="inlineStr">
        <is>
          <t>Project Notos</t>
        </is>
      </c>
      <c r="B469" t="inlineStr">
        <is>
          <t>1.5.1.3.1</t>
        </is>
      </c>
      <c r="C469" t="inlineStr"/>
      <c r="D469" t="inlineStr">
        <is>
          <t>IG_Shareholders Resolution_20250830</t>
        </is>
      </c>
      <c r="E469" t="inlineStr">
        <is>
          <t>DOCUMENT</t>
        </is>
      </c>
    </row>
    <row r="470">
      <c r="A470" t="inlineStr">
        <is>
          <t>Project Notos</t>
        </is>
      </c>
      <c r="B470" t="inlineStr">
        <is>
          <t>1.5.1.3.2</t>
        </is>
      </c>
      <c r="C470" t="inlineStr"/>
      <c r="D470" t="inlineStr">
        <is>
          <t>IG_Deed of acceptance_capital increase per 18_06_2025_</t>
        </is>
      </c>
      <c r="E470" t="inlineStr">
        <is>
          <t>DOCUMENT</t>
        </is>
      </c>
    </row>
    <row r="471">
      <c r="A471" t="inlineStr">
        <is>
          <t>Project Notos</t>
        </is>
      </c>
      <c r="B471" t="inlineStr">
        <is>
          <t>1.5.1.3.3</t>
        </is>
      </c>
      <c r="C471" t="inlineStr"/>
      <c r="D471" t="inlineStr">
        <is>
          <t>IG_Deed of acceptance ZAPT, Beteiligungs GmbH, CK Vermögensverwaltungs GmbH, Veit Schmid-Schmidsfelden capital increase as per 18062024</t>
        </is>
      </c>
      <c r="E471" t="inlineStr">
        <is>
          <t>DOCUMENT</t>
        </is>
      </c>
    </row>
    <row r="472">
      <c r="A472" t="inlineStr">
        <is>
          <t>Project Notos</t>
        </is>
      </c>
      <c r="B472" t="inlineStr">
        <is>
          <t>1.5.1.3.4</t>
        </is>
      </c>
      <c r="C472" t="inlineStr"/>
      <c r="D472" t="inlineStr">
        <is>
          <t>IG_Deed of acceptance Eureka-Privatstiftung_capital increase as per 18062024</t>
        </is>
      </c>
      <c r="E472" t="inlineStr">
        <is>
          <t>DOCUMENT</t>
        </is>
      </c>
    </row>
    <row r="473">
      <c r="A473" t="inlineStr">
        <is>
          <t>Project Notos</t>
        </is>
      </c>
      <c r="B473" t="inlineStr">
        <is>
          <t>1.5.1.3.5</t>
        </is>
      </c>
      <c r="C473" t="inlineStr"/>
      <c r="D473" t="inlineStr">
        <is>
          <t>IG_Deed of acceptance Leopold Schmid_Schmidsfelden _capital increase as per 18_06_2025_</t>
        </is>
      </c>
      <c r="E473" t="inlineStr">
        <is>
          <t>DOCUMENT</t>
        </is>
      </c>
    </row>
    <row r="474">
      <c r="A474" t="inlineStr">
        <is>
          <t>Project Notos</t>
        </is>
      </c>
      <c r="B474" t="inlineStr">
        <is>
          <t>1.5.1.3.6</t>
        </is>
      </c>
      <c r="C474" t="inlineStr"/>
      <c r="D474" t="inlineStr">
        <is>
          <t>IG_Deed of acceptance Dipl Ing Klaus Pöttinger capital increase as per 18_06_2025_</t>
        </is>
      </c>
      <c r="E474" t="inlineStr">
        <is>
          <t>DOCUMENT</t>
        </is>
      </c>
    </row>
    <row r="475">
      <c r="A475" t="inlineStr">
        <is>
          <t>Project Notos</t>
        </is>
      </c>
      <c r="B475" t="inlineStr">
        <is>
          <t>1.5.1.3.7</t>
        </is>
      </c>
      <c r="C475" t="inlineStr"/>
      <c r="D475" t="inlineStr">
        <is>
          <t>IG_ Deed of acceptance ZAPT Beteiligungs-GmbH, CK Vermögensverwaltugns GmbH, Veit, Heinrich, Leopold Schmid-Schmidsfelden, Klaus Pöttinger_capital increase as per 21.05.2024</t>
        </is>
      </c>
      <c r="E475" t="inlineStr">
        <is>
          <t>DOCUMENT</t>
        </is>
      </c>
    </row>
    <row r="476">
      <c r="A476" t="inlineStr">
        <is>
          <t>Project Notos</t>
        </is>
      </c>
      <c r="B476" t="inlineStr">
        <is>
          <t>1.5.1.3.8</t>
        </is>
      </c>
      <c r="C476" t="inlineStr"/>
      <c r="D476" t="inlineStr">
        <is>
          <t>Firmenbuchabfrage - Innerio Group GIG_Deed of acceptance Eureka-Privatstiftung capital increase as per 21_05_2024_</t>
        </is>
      </c>
      <c r="E476" t="inlineStr">
        <is>
          <t>DOCUMENT</t>
        </is>
      </c>
    </row>
    <row r="477">
      <c r="A477" s="149" t="inlineStr">
        <is>
          <t>Project Notos</t>
        </is>
      </c>
      <c r="B477" s="149" t="inlineStr">
        <is>
          <t>1.5.1.4</t>
        </is>
      </c>
      <c r="C477" s="149" t="inlineStr">
        <is>
          <t>Company agreements</t>
        </is>
      </c>
      <c r="D477" s="149" t="inlineStr"/>
      <c r="E477" s="149" t="inlineStr">
        <is>
          <t>FOLDER</t>
        </is>
      </c>
    </row>
    <row r="478">
      <c r="A478" t="inlineStr">
        <is>
          <t>Project Notos</t>
        </is>
      </c>
      <c r="B478" t="inlineStr">
        <is>
          <t>1.5.1.4.1</t>
        </is>
      </c>
      <c r="C478" t="inlineStr"/>
      <c r="D478" t="inlineStr">
        <is>
          <t>IG_group service agreement_241230</t>
        </is>
      </c>
      <c r="E478" t="inlineStr">
        <is>
          <t>DOCUMENT</t>
        </is>
      </c>
    </row>
    <row r="479">
      <c r="A479" t="inlineStr">
        <is>
          <t>Project Notos</t>
        </is>
      </c>
      <c r="B479" t="inlineStr">
        <is>
          <t>1.5.1.4.2</t>
        </is>
      </c>
      <c r="C479" t="inlineStr"/>
      <c r="D479" t="inlineStr">
        <is>
          <t>IG_tax group agreement_2024</t>
        </is>
      </c>
      <c r="E479" t="inlineStr">
        <is>
          <t>DOCUMENT</t>
        </is>
      </c>
    </row>
    <row r="480">
      <c r="A480" s="149" t="inlineStr">
        <is>
          <t>Project Notos</t>
        </is>
      </c>
      <c r="B480" s="149" t="inlineStr">
        <is>
          <t>1.5.2</t>
        </is>
      </c>
      <c r="C480" s="149" t="inlineStr">
        <is>
          <t xml:space="preserve">Financing </t>
        </is>
      </c>
      <c r="D480" s="149" t="inlineStr"/>
      <c r="E480" s="149" t="inlineStr">
        <is>
          <t>FOLDER</t>
        </is>
      </c>
    </row>
    <row r="481">
      <c r="A481" s="149" t="inlineStr">
        <is>
          <t>Project Notos</t>
        </is>
      </c>
      <c r="B481" s="149" t="inlineStr">
        <is>
          <t>1.5.2.1</t>
        </is>
      </c>
      <c r="C481" s="149" t="inlineStr">
        <is>
          <t>IC loans_Shareholder loans</t>
        </is>
      </c>
      <c r="D481" s="149" t="inlineStr"/>
      <c r="E481" s="149" t="inlineStr">
        <is>
          <t>FOLDER</t>
        </is>
      </c>
    </row>
    <row r="482">
      <c r="A482" t="inlineStr">
        <is>
          <t>Project Notos</t>
        </is>
      </c>
      <c r="B482" t="inlineStr">
        <is>
          <t>1.5.2.1.1</t>
        </is>
      </c>
      <c r="C482" t="inlineStr"/>
      <c r="D482" t="inlineStr">
        <is>
          <t>IG_loan agreement IM_221222</t>
        </is>
      </c>
      <c r="E482" t="inlineStr">
        <is>
          <t>DOCUMENT</t>
        </is>
      </c>
    </row>
    <row r="483">
      <c r="A483" t="inlineStr">
        <is>
          <t>Project Notos</t>
        </is>
      </c>
      <c r="B483" t="inlineStr">
        <is>
          <t>1.5.2.1.2</t>
        </is>
      </c>
      <c r="C483" t="inlineStr"/>
      <c r="D483" t="inlineStr">
        <is>
          <t>IG_loan agreement FT_240305</t>
        </is>
      </c>
      <c r="E483" t="inlineStr">
        <is>
          <t>DOCUMENT</t>
        </is>
      </c>
    </row>
    <row r="484">
      <c r="A484" t="inlineStr">
        <is>
          <t>Project Notos</t>
        </is>
      </c>
      <c r="B484" t="inlineStr">
        <is>
          <t>1.5.2.1.3</t>
        </is>
      </c>
      <c r="C484" t="inlineStr"/>
      <c r="D484" t="inlineStr">
        <is>
          <t>IG_loan agreement RF_250123</t>
        </is>
      </c>
      <c r="E484" t="inlineStr">
        <is>
          <t>DOCUMENT</t>
        </is>
      </c>
    </row>
    <row r="485">
      <c r="A485" t="inlineStr">
        <is>
          <t>Project Notos</t>
        </is>
      </c>
      <c r="B485" t="inlineStr">
        <is>
          <t>1.5.2.1.4</t>
        </is>
      </c>
      <c r="C485" t="inlineStr"/>
      <c r="D485" t="inlineStr">
        <is>
          <t>IG_Shareholder Loans_Syndikatsvertrag 1_191001</t>
        </is>
      </c>
      <c r="E485" t="inlineStr">
        <is>
          <t>DOCUMENT</t>
        </is>
      </c>
    </row>
    <row r="486">
      <c r="A486" t="inlineStr">
        <is>
          <t>Project Notos</t>
        </is>
      </c>
      <c r="B486" t="inlineStr">
        <is>
          <t>1.5.2.1.5</t>
        </is>
      </c>
      <c r="C486" t="inlineStr"/>
      <c r="D486" t="inlineStr">
        <is>
          <t>IG_Shareholder Loans_Syndikatsvertrag 2_200227</t>
        </is>
      </c>
      <c r="E486" t="inlineStr">
        <is>
          <t>DOCUMENT</t>
        </is>
      </c>
    </row>
    <row r="487">
      <c r="A487" t="inlineStr">
        <is>
          <t>Project Notos</t>
        </is>
      </c>
      <c r="B487" t="inlineStr">
        <is>
          <t>1.5.2.1.6</t>
        </is>
      </c>
      <c r="C487" t="inlineStr"/>
      <c r="D487" t="inlineStr">
        <is>
          <t>IG_Shareholder Loan CK_Loan Prolongations</t>
        </is>
      </c>
      <c r="E487" t="inlineStr">
        <is>
          <t>DOCUMENT</t>
        </is>
      </c>
    </row>
    <row r="488">
      <c r="A488" t="inlineStr">
        <is>
          <t>Project Notos</t>
        </is>
      </c>
      <c r="B488" t="inlineStr">
        <is>
          <t>1.5.2.1.7</t>
        </is>
      </c>
      <c r="C488" t="inlineStr"/>
      <c r="D488" t="inlineStr">
        <is>
          <t>IG_Shareholder Loan Pöttinger_Loan Prolongations</t>
        </is>
      </c>
      <c r="E488" t="inlineStr">
        <is>
          <t>DOCUMENT</t>
        </is>
      </c>
    </row>
    <row r="489">
      <c r="A489" s="149" t="inlineStr">
        <is>
          <t>Project Notos</t>
        </is>
      </c>
      <c r="B489" s="149" t="inlineStr">
        <is>
          <t>1.5.3</t>
        </is>
      </c>
      <c r="C489" s="149" t="inlineStr">
        <is>
          <t>Insurance</t>
        </is>
      </c>
      <c r="D489" s="149" t="inlineStr"/>
      <c r="E489" s="149" t="inlineStr">
        <is>
          <t>FOLDER</t>
        </is>
      </c>
    </row>
    <row r="490">
      <c r="A490" t="inlineStr">
        <is>
          <t>Project Notos</t>
        </is>
      </c>
      <c r="B490" t="inlineStr">
        <is>
          <t>1.5.3.1</t>
        </is>
      </c>
      <c r="C490" t="inlineStr"/>
      <c r="D490" t="inlineStr">
        <is>
          <t>IG_cyber insurance würrtembergische_250819</t>
        </is>
      </c>
      <c r="E490" t="inlineStr">
        <is>
          <t>DOCUMENT</t>
        </is>
      </c>
    </row>
    <row r="491">
      <c r="A491" t="inlineStr">
        <is>
          <t>Project Notos</t>
        </is>
      </c>
      <c r="B491" t="inlineStr">
        <is>
          <t>1.5.3.2</t>
        </is>
      </c>
      <c r="C491" t="inlineStr"/>
      <c r="D491" t="inlineStr">
        <is>
          <t>IG_legal protection insurance HDI_211215</t>
        </is>
      </c>
      <c r="E491" t="inlineStr">
        <is>
          <t>DOCUMENT</t>
        </is>
      </c>
    </row>
    <row r="492">
      <c r="A492" t="inlineStr">
        <is>
          <t>Project Notos</t>
        </is>
      </c>
      <c r="B492" t="inlineStr">
        <is>
          <t>1.5.3.3</t>
        </is>
      </c>
      <c r="C492" t="inlineStr"/>
      <c r="D492" t="inlineStr">
        <is>
          <t>IG_HDI terms_250204</t>
        </is>
      </c>
      <c r="E492" t="inlineStr">
        <is>
          <t>DOCUMENT</t>
        </is>
      </c>
    </row>
    <row r="493">
      <c r="A493" t="inlineStr">
        <is>
          <t>Project Notos</t>
        </is>
      </c>
      <c r="B493" t="inlineStr">
        <is>
          <t>1.5.3.4</t>
        </is>
      </c>
      <c r="C493" t="inlineStr"/>
      <c r="D493" t="inlineStr">
        <is>
          <t>IG_liability insurance HDI_250311</t>
        </is>
      </c>
      <c r="E493" t="inlineStr">
        <is>
          <t>DOCUMENT</t>
        </is>
      </c>
    </row>
    <row r="494">
      <c r="A494" t="inlineStr">
        <is>
          <t>Project Notos</t>
        </is>
      </c>
      <c r="B494" t="inlineStr">
        <is>
          <t>1.5.3.5</t>
        </is>
      </c>
      <c r="C494" t="inlineStr"/>
      <c r="D494" t="inlineStr">
        <is>
          <t>IG_transport insurance HDI_250701</t>
        </is>
      </c>
      <c r="E494" t="inlineStr">
        <is>
          <t>DOCUMENT</t>
        </is>
      </c>
    </row>
    <row r="495">
      <c r="A495" t="inlineStr">
        <is>
          <t>Project Notos</t>
        </is>
      </c>
      <c r="B495" t="inlineStr">
        <is>
          <t>1.5.3.6</t>
        </is>
      </c>
      <c r="C495" t="inlineStr"/>
      <c r="D495" t="inlineStr">
        <is>
          <t>IG_addendum D&amp;O insurance AIG_251219</t>
        </is>
      </c>
      <c r="E495" t="inlineStr">
        <is>
          <t>DOCUMENT</t>
        </is>
      </c>
    </row>
    <row r="496">
      <c r="A496" s="149" t="inlineStr">
        <is>
          <t>Project Notos</t>
        </is>
      </c>
      <c r="B496" s="149" t="inlineStr">
        <is>
          <t>1.6</t>
        </is>
      </c>
      <c r="C496" s="149" t="inlineStr">
        <is>
          <t>Innerio Immobilien GmbH (IM)</t>
        </is>
      </c>
      <c r="D496" s="149" t="inlineStr"/>
      <c r="E496" s="149" t="inlineStr">
        <is>
          <t>FOLDER</t>
        </is>
      </c>
    </row>
    <row r="497">
      <c r="A497" s="149" t="inlineStr">
        <is>
          <t>Project Notos</t>
        </is>
      </c>
      <c r="B497" s="149" t="inlineStr">
        <is>
          <t>1.6.1</t>
        </is>
      </c>
      <c r="C497" s="149" t="inlineStr">
        <is>
          <t>Corporate</t>
        </is>
      </c>
      <c r="D497" s="149" t="inlineStr"/>
      <c r="E497" s="149" t="inlineStr">
        <is>
          <t>FOLDER</t>
        </is>
      </c>
    </row>
    <row r="498">
      <c r="A498" s="149" t="inlineStr">
        <is>
          <t>Project Notos</t>
        </is>
      </c>
      <c r="B498" s="149" t="inlineStr">
        <is>
          <t>1.6.1.1</t>
        </is>
      </c>
      <c r="C498" s="149" t="inlineStr">
        <is>
          <t>Company register</t>
        </is>
      </c>
      <c r="D498" s="149" t="inlineStr"/>
      <c r="E498" s="149" t="inlineStr">
        <is>
          <t>FOLDER</t>
        </is>
      </c>
    </row>
    <row r="499">
      <c r="A499" t="inlineStr">
        <is>
          <t>Project Notos</t>
        </is>
      </c>
      <c r="B499" t="inlineStr">
        <is>
          <t>1.6.1.1.1</t>
        </is>
      </c>
      <c r="C499" t="inlineStr"/>
      <c r="D499" t="inlineStr">
        <is>
          <t>FB Innerio Immobilien Gmbh</t>
        </is>
      </c>
      <c r="E499" t="inlineStr">
        <is>
          <t>DOCUMENT</t>
        </is>
      </c>
    </row>
    <row r="500">
      <c r="A500" t="inlineStr">
        <is>
          <t>Project Notos</t>
        </is>
      </c>
      <c r="B500" t="inlineStr">
        <is>
          <t>1.6.1.1.2</t>
        </is>
      </c>
      <c r="C500" t="inlineStr"/>
      <c r="D500" t="inlineStr">
        <is>
          <t>IM_commercial register excerpt_20260219</t>
        </is>
      </c>
      <c r="E500" t="inlineStr">
        <is>
          <t>DOCUMENT</t>
        </is>
      </c>
    </row>
    <row r="501">
      <c r="A501" s="149" t="inlineStr">
        <is>
          <t>Project Notos</t>
        </is>
      </c>
      <c r="B501" s="149" t="inlineStr">
        <is>
          <t>1.6.1.2</t>
        </is>
      </c>
      <c r="C501" s="149" t="inlineStr">
        <is>
          <t>Articles of association</t>
        </is>
      </c>
      <c r="D501" s="149" t="inlineStr"/>
      <c r="E501" s="149" t="inlineStr">
        <is>
          <t>FOLDER</t>
        </is>
      </c>
    </row>
    <row r="502">
      <c r="A502" t="inlineStr">
        <is>
          <t>Project Notos</t>
        </is>
      </c>
      <c r="B502" t="inlineStr">
        <is>
          <t>1.6.1.2.1</t>
        </is>
      </c>
      <c r="C502" t="inlineStr"/>
      <c r="D502" t="inlineStr">
        <is>
          <t>IM_Declaration of establishment_authentification_Mag. Schlager_20080904</t>
        </is>
      </c>
      <c r="E502" t="inlineStr">
        <is>
          <t>DOCUMENT</t>
        </is>
      </c>
    </row>
    <row r="503">
      <c r="A503" t="inlineStr">
        <is>
          <t>Project Notos</t>
        </is>
      </c>
      <c r="B503" t="inlineStr">
        <is>
          <t>1.6.1.2.2</t>
        </is>
      </c>
      <c r="C503" t="inlineStr"/>
      <c r="D503" t="inlineStr">
        <is>
          <t>IM_declaration of establishment_20220523</t>
        </is>
      </c>
      <c r="E503" t="inlineStr">
        <is>
          <t>DOCUMENT</t>
        </is>
      </c>
    </row>
    <row r="504">
      <c r="A504" s="149" t="inlineStr">
        <is>
          <t>Project Notos</t>
        </is>
      </c>
      <c r="B504" s="149" t="inlineStr">
        <is>
          <t>1.6.1.3</t>
        </is>
      </c>
      <c r="C504" s="149" t="inlineStr">
        <is>
          <t>Shareholder resolutions</t>
        </is>
      </c>
      <c r="D504" s="149" t="inlineStr"/>
      <c r="E504" s="149" t="inlineStr">
        <is>
          <t>FOLDER</t>
        </is>
      </c>
    </row>
    <row r="505">
      <c r="A505" t="inlineStr">
        <is>
          <t>Project Notos</t>
        </is>
      </c>
      <c r="B505" t="inlineStr">
        <is>
          <t>1.6.1.3.1</t>
        </is>
      </c>
      <c r="C505" t="inlineStr"/>
      <c r="D505" t="inlineStr">
        <is>
          <t>IM_commercial register application (re full payment of share capital)_20200622</t>
        </is>
      </c>
      <c r="E505" t="inlineStr">
        <is>
          <t>DOCUMENT</t>
        </is>
      </c>
    </row>
    <row r="506">
      <c r="A506" t="inlineStr">
        <is>
          <t>Project Notos</t>
        </is>
      </c>
      <c r="B506" t="inlineStr">
        <is>
          <t>1.6.1.3.2</t>
        </is>
      </c>
      <c r="C506" t="inlineStr"/>
      <c r="D506" t="inlineStr">
        <is>
          <t>IM_SR_250602</t>
        </is>
      </c>
      <c r="E506" t="inlineStr">
        <is>
          <t>DOCUMENT</t>
        </is>
      </c>
    </row>
    <row r="507">
      <c r="A507" t="inlineStr">
        <is>
          <t>Project Notos</t>
        </is>
      </c>
      <c r="B507" t="inlineStr">
        <is>
          <t>1.6.1.3.3</t>
        </is>
      </c>
      <c r="C507" t="inlineStr"/>
      <c r="D507" t="inlineStr">
        <is>
          <t>IM_SR_231215</t>
        </is>
      </c>
      <c r="E507" t="inlineStr">
        <is>
          <t>DOCUMENT</t>
        </is>
      </c>
    </row>
    <row r="508">
      <c r="A508" t="inlineStr">
        <is>
          <t>Project Notos</t>
        </is>
      </c>
      <c r="B508" t="inlineStr">
        <is>
          <t>1.6.1.3.4</t>
        </is>
      </c>
      <c r="C508" t="inlineStr"/>
      <c r="D508" t="inlineStr">
        <is>
          <t>IM_SR_230421</t>
        </is>
      </c>
      <c r="E508" t="inlineStr">
        <is>
          <t>DOCUMENT</t>
        </is>
      </c>
    </row>
    <row r="509">
      <c r="A509" t="inlineStr">
        <is>
          <t>Project Notos</t>
        </is>
      </c>
      <c r="B509" t="inlineStr">
        <is>
          <t>1.6.1.3.5</t>
        </is>
      </c>
      <c r="C509" t="inlineStr"/>
      <c r="D509" t="inlineStr">
        <is>
          <t>IM_SR_220615</t>
        </is>
      </c>
      <c r="E509" t="inlineStr">
        <is>
          <t>DOCUMENT</t>
        </is>
      </c>
    </row>
    <row r="510">
      <c r="A510" t="inlineStr">
        <is>
          <t>Project Notos</t>
        </is>
      </c>
      <c r="B510" t="inlineStr">
        <is>
          <t>1.6.1.3.6</t>
        </is>
      </c>
      <c r="C510" t="inlineStr"/>
      <c r="D510" t="inlineStr">
        <is>
          <t>IM_SR_210630</t>
        </is>
      </c>
      <c r="E510" t="inlineStr">
        <is>
          <t>DOCUMENT</t>
        </is>
      </c>
    </row>
    <row r="511">
      <c r="A511" t="inlineStr">
        <is>
          <t>Project Notos</t>
        </is>
      </c>
      <c r="B511" t="inlineStr">
        <is>
          <t>1.6.1.3.7</t>
        </is>
      </c>
      <c r="C511" t="inlineStr"/>
      <c r="D511" t="inlineStr">
        <is>
          <t>IM_SR_201002</t>
        </is>
      </c>
      <c r="E511" t="inlineStr">
        <is>
          <t>DOCUMENT</t>
        </is>
      </c>
    </row>
    <row r="512">
      <c r="A512" t="inlineStr">
        <is>
          <t>Project Notos</t>
        </is>
      </c>
      <c r="B512" t="inlineStr">
        <is>
          <t>1.6.1.3.8</t>
        </is>
      </c>
      <c r="C512" t="inlineStr"/>
      <c r="D512" t="inlineStr">
        <is>
          <t>IM_SR_180430</t>
        </is>
      </c>
      <c r="E512" t="inlineStr">
        <is>
          <t>DOCUMENT</t>
        </is>
      </c>
    </row>
    <row r="513">
      <c r="A513" t="inlineStr">
        <is>
          <t>Project Notos</t>
        </is>
      </c>
      <c r="B513" t="inlineStr">
        <is>
          <t>1.6.1.3.9</t>
        </is>
      </c>
      <c r="C513" t="inlineStr"/>
      <c r="D513" t="inlineStr">
        <is>
          <t>IM_SR_180417</t>
        </is>
      </c>
      <c r="E513" t="inlineStr">
        <is>
          <t>DOCUMENT</t>
        </is>
      </c>
    </row>
    <row r="514">
      <c r="A514" s="149" t="inlineStr">
        <is>
          <t>Project Notos</t>
        </is>
      </c>
      <c r="B514" s="149" t="inlineStr">
        <is>
          <t>1.6.1.4</t>
        </is>
      </c>
      <c r="C514" s="149" t="inlineStr">
        <is>
          <t>Company agreements</t>
        </is>
      </c>
      <c r="D514" s="149" t="inlineStr"/>
      <c r="E514" s="149" t="inlineStr">
        <is>
          <t>FOLDER</t>
        </is>
      </c>
    </row>
    <row r="515">
      <c r="A515" t="inlineStr">
        <is>
          <t>Project Notos</t>
        </is>
      </c>
      <c r="B515" t="inlineStr">
        <is>
          <t>1.6.1.4.1</t>
        </is>
      </c>
      <c r="C515" t="inlineStr"/>
      <c r="D515" t="inlineStr">
        <is>
          <t>IM_group service agreement_241230</t>
        </is>
      </c>
      <c r="E515" t="inlineStr">
        <is>
          <t>DOCUMENT</t>
        </is>
      </c>
    </row>
    <row r="516">
      <c r="A516" s="149" t="inlineStr">
        <is>
          <t>Project Notos</t>
        </is>
      </c>
      <c r="B516" s="149" t="inlineStr">
        <is>
          <t>1.6.2</t>
        </is>
      </c>
      <c r="C516" s="149" t="inlineStr">
        <is>
          <t xml:space="preserve">Financing </t>
        </is>
      </c>
      <c r="D516" s="149" t="inlineStr"/>
      <c r="E516" s="149" t="inlineStr">
        <is>
          <t>FOLDER</t>
        </is>
      </c>
    </row>
    <row r="517">
      <c r="A517" s="149" t="inlineStr">
        <is>
          <t>Project Notos</t>
        </is>
      </c>
      <c r="B517" s="149" t="inlineStr">
        <is>
          <t>1.6.2.1</t>
        </is>
      </c>
      <c r="C517" s="149" t="inlineStr">
        <is>
          <t>ERSTE Bank</t>
        </is>
      </c>
      <c r="D517" s="149" t="inlineStr"/>
      <c r="E517" s="149" t="inlineStr">
        <is>
          <t>FOLDER</t>
        </is>
      </c>
    </row>
    <row r="518">
      <c r="A518" t="inlineStr">
        <is>
          <t>Project Notos</t>
        </is>
      </c>
      <c r="B518" t="inlineStr">
        <is>
          <t>1.6.2.1.1</t>
        </is>
      </c>
      <c r="C518" t="inlineStr"/>
      <c r="D518" t="inlineStr">
        <is>
          <t>IM_loan agreement 1M erste bank_221219</t>
        </is>
      </c>
      <c r="E518" t="inlineStr">
        <is>
          <t>DOCUMENT</t>
        </is>
      </c>
    </row>
    <row r="519">
      <c r="A519" t="inlineStr">
        <is>
          <t>Project Notos</t>
        </is>
      </c>
      <c r="B519" t="inlineStr">
        <is>
          <t>1.6.2.1.2</t>
        </is>
      </c>
      <c r="C519" t="inlineStr"/>
      <c r="D519" t="inlineStr">
        <is>
          <t>IM_loan agreement 6M erste bank_221219</t>
        </is>
      </c>
      <c r="E519" t="inlineStr">
        <is>
          <t>DOCUMENT</t>
        </is>
      </c>
    </row>
    <row r="520">
      <c r="A520" t="inlineStr">
        <is>
          <t>Project Notos</t>
        </is>
      </c>
      <c r="B520" t="inlineStr">
        <is>
          <t>1.6.2.1.3</t>
        </is>
      </c>
      <c r="C520" t="inlineStr"/>
      <c r="D520" t="inlineStr">
        <is>
          <t>IM_pledge erste bank_221212</t>
        </is>
      </c>
      <c r="E520" t="inlineStr">
        <is>
          <t>DOCUMENT</t>
        </is>
      </c>
    </row>
    <row r="521">
      <c r="A521" t="inlineStr">
        <is>
          <t>Project Notos</t>
        </is>
      </c>
      <c r="B521" t="inlineStr">
        <is>
          <t>1.6.2.1.4</t>
        </is>
      </c>
      <c r="C521" t="inlineStr"/>
      <c r="D521" t="inlineStr">
        <is>
          <t>IM_consent insurance register erste bank_221219</t>
        </is>
      </c>
      <c r="E521" t="inlineStr">
        <is>
          <t>DOCUMENT</t>
        </is>
      </c>
    </row>
    <row r="522">
      <c r="A522" t="inlineStr">
        <is>
          <t>Project Notos</t>
        </is>
      </c>
      <c r="B522" t="inlineStr">
        <is>
          <t>1.6.2.1.5</t>
        </is>
      </c>
      <c r="C522" t="inlineStr"/>
      <c r="D522" t="inlineStr">
        <is>
          <t>IM_request for blocking certificate insurance erste bank_221201</t>
        </is>
      </c>
      <c r="E522" t="inlineStr">
        <is>
          <t>DOCUMENT</t>
        </is>
      </c>
    </row>
    <row r="523">
      <c r="A523" s="149" t="inlineStr">
        <is>
          <t>Project Notos</t>
        </is>
      </c>
      <c r="B523" s="149" t="inlineStr">
        <is>
          <t>1.6.2.2</t>
        </is>
      </c>
      <c r="C523" s="149" t="inlineStr">
        <is>
          <t>IC loans</t>
        </is>
      </c>
      <c r="D523" s="149" t="inlineStr"/>
      <c r="E523" s="149" t="inlineStr">
        <is>
          <t>FOLDER</t>
        </is>
      </c>
    </row>
    <row r="524">
      <c r="A524" t="inlineStr">
        <is>
          <t>Project Notos</t>
        </is>
      </c>
      <c r="B524" t="inlineStr">
        <is>
          <t>1.6.2.2.1</t>
        </is>
      </c>
      <c r="C524" t="inlineStr"/>
      <c r="D524" t="inlineStr">
        <is>
          <t>IM_loan agreement IG_221222</t>
        </is>
      </c>
      <c r="E524" t="inlineStr">
        <is>
          <t>DOCUMENT</t>
        </is>
      </c>
    </row>
    <row r="525">
      <c r="A525" s="149" t="inlineStr">
        <is>
          <t>Project Notos</t>
        </is>
      </c>
      <c r="B525" s="149" t="inlineStr">
        <is>
          <t>1.6.2.3</t>
        </is>
      </c>
      <c r="C525" s="149" t="inlineStr">
        <is>
          <t>Shareholder loan</t>
        </is>
      </c>
      <c r="D525" s="149" t="inlineStr"/>
      <c r="E525" s="149" t="inlineStr">
        <is>
          <t>FOLDER</t>
        </is>
      </c>
    </row>
    <row r="526">
      <c r="A526" s="149" t="inlineStr">
        <is>
          <t>Project Notos</t>
        </is>
      </c>
      <c r="B526" s="149" t="inlineStr">
        <is>
          <t>1.6.2.3.1</t>
        </is>
      </c>
      <c r="C526" s="149" t="inlineStr">
        <is>
          <t>Z.A.P.T</t>
        </is>
      </c>
      <c r="D526" s="149" t="inlineStr"/>
      <c r="E526" s="149" t="inlineStr">
        <is>
          <t>FOLDER</t>
        </is>
      </c>
    </row>
    <row r="527">
      <c r="A527" t="inlineStr">
        <is>
          <t>Project Notos</t>
        </is>
      </c>
      <c r="B527" t="inlineStr">
        <is>
          <t>1.6.2.3.1.1</t>
        </is>
      </c>
      <c r="C527" t="inlineStr"/>
      <c r="D527" t="inlineStr">
        <is>
          <t>20260507_Verlängerung1 Darlehen_365.000_Z.A.P.T Beteil. GmbH_Innerio Immobilien GmbH-12.27-signed2</t>
        </is>
      </c>
      <c r="E527" t="inlineStr">
        <is>
          <t>DOCUMENT</t>
        </is>
      </c>
    </row>
    <row r="528">
      <c r="A528" s="149" t="inlineStr">
        <is>
          <t>Project Notos</t>
        </is>
      </c>
      <c r="B528" s="149" t="inlineStr">
        <is>
          <t>1.6.3</t>
        </is>
      </c>
      <c r="C528" s="149" t="inlineStr">
        <is>
          <t>Real Estate</t>
        </is>
      </c>
      <c r="D528" s="149" t="inlineStr"/>
      <c r="E528" s="149" t="inlineStr">
        <is>
          <t>FOLDER</t>
        </is>
      </c>
    </row>
    <row r="529">
      <c r="A529" s="149" t="inlineStr">
        <is>
          <t>Project Notos</t>
        </is>
      </c>
      <c r="B529" s="149" t="inlineStr">
        <is>
          <t>1.6.3.1</t>
        </is>
      </c>
      <c r="C529" s="149" t="inlineStr">
        <is>
          <t>Rental contracts</t>
        </is>
      </c>
      <c r="D529" s="149" t="inlineStr"/>
      <c r="E529" s="149" t="inlineStr">
        <is>
          <t>FOLDER</t>
        </is>
      </c>
    </row>
    <row r="530">
      <c r="A530" t="inlineStr">
        <is>
          <t>Project Notos</t>
        </is>
      </c>
      <c r="B530" t="inlineStr">
        <is>
          <t>1.6.3.1.1</t>
        </is>
      </c>
      <c r="C530" t="inlineStr"/>
      <c r="D530" t="inlineStr">
        <is>
          <t>Bestandvertrag IIM_IHE (former Modine Austria GmbH)</t>
        </is>
      </c>
      <c r="E530" t="inlineStr">
        <is>
          <t>DOCUMENT</t>
        </is>
      </c>
    </row>
    <row r="531">
      <c r="A531" t="inlineStr">
        <is>
          <t>Project Notos</t>
        </is>
      </c>
      <c r="B531" t="inlineStr">
        <is>
          <t>1.6.3.1.2</t>
        </is>
      </c>
      <c r="C531" t="inlineStr"/>
      <c r="D531" t="inlineStr">
        <is>
          <t>Pachtvertrag_PV Anlage_IIM_IHE</t>
        </is>
      </c>
      <c r="E531" t="inlineStr">
        <is>
          <t>DOCUMENT</t>
        </is>
      </c>
    </row>
    <row r="532">
      <c r="A532" t="inlineStr">
        <is>
          <t>Project Notos</t>
        </is>
      </c>
      <c r="B532" t="inlineStr">
        <is>
          <t>1.6.3.1.3</t>
        </is>
      </c>
      <c r="C532" t="inlineStr"/>
      <c r="D532" t="inlineStr">
        <is>
          <t>IHE_sub lease agreement RF_250101</t>
        </is>
      </c>
      <c r="E532" t="inlineStr">
        <is>
          <t>DOCUMENT</t>
        </is>
      </c>
    </row>
    <row r="533">
      <c r="A533" s="149" t="inlineStr">
        <is>
          <t>Project Notos</t>
        </is>
      </c>
      <c r="B533" s="149" t="inlineStr">
        <is>
          <t>1.6.3.2</t>
        </is>
      </c>
      <c r="C533" s="149" t="inlineStr">
        <is>
          <t>Land register</t>
        </is>
      </c>
      <c r="D533" s="149" t="inlineStr"/>
      <c r="E533" s="149" t="inlineStr">
        <is>
          <t>FOLDER</t>
        </is>
      </c>
    </row>
    <row r="534">
      <c r="A534" t="inlineStr">
        <is>
          <t>Project Notos</t>
        </is>
      </c>
      <c r="B534" t="inlineStr">
        <is>
          <t>1.6.3.2.1</t>
        </is>
      </c>
      <c r="C534" t="inlineStr"/>
      <c r="D534" t="inlineStr">
        <is>
          <t>IM_real estate excerpt (KG 04016, EZ 3987)_20260303</t>
        </is>
      </c>
      <c r="E534" t="inlineStr">
        <is>
          <t>DOCUMENT</t>
        </is>
      </c>
    </row>
    <row r="535">
      <c r="A535" s="149" t="inlineStr">
        <is>
          <t>Project Notos</t>
        </is>
      </c>
      <c r="B535" s="149" t="inlineStr">
        <is>
          <t>1.6.3.3</t>
        </is>
      </c>
      <c r="C535" s="149" t="inlineStr">
        <is>
          <t>Valuation report</t>
        </is>
      </c>
      <c r="D535" s="149" t="inlineStr"/>
      <c r="E535" s="149" t="inlineStr">
        <is>
          <t>FOLDER</t>
        </is>
      </c>
    </row>
    <row r="536">
      <c r="A536" t="inlineStr">
        <is>
          <t>Project Notos</t>
        </is>
      </c>
      <c r="B536" t="inlineStr">
        <is>
          <t>1.6.3.3.1</t>
        </is>
      </c>
      <c r="C536" t="inlineStr"/>
      <c r="D536" t="inlineStr">
        <is>
          <t>IM-Valuation Report_Kottingbrunn_250204</t>
        </is>
      </c>
      <c r="E536" t="inlineStr">
        <is>
          <t>DOCUMENT</t>
        </is>
      </c>
    </row>
    <row r="537">
      <c r="A537" s="149" t="inlineStr">
        <is>
          <t>Project Notos</t>
        </is>
      </c>
      <c r="B537" s="149" t="inlineStr">
        <is>
          <t>1.6.4</t>
        </is>
      </c>
      <c r="C537" s="149" t="inlineStr">
        <is>
          <t>Insurance</t>
        </is>
      </c>
      <c r="D537" s="149" t="inlineStr"/>
      <c r="E537" s="149" t="inlineStr">
        <is>
          <t>FOLDER</t>
        </is>
      </c>
    </row>
    <row r="538">
      <c r="A538" t="inlineStr">
        <is>
          <t>Project Notos</t>
        </is>
      </c>
      <c r="B538" t="inlineStr">
        <is>
          <t>1.6.4.1</t>
        </is>
      </c>
      <c r="C538" t="inlineStr"/>
      <c r="D538" t="inlineStr">
        <is>
          <t>IM_insurance HDI_260101</t>
        </is>
      </c>
      <c r="E538" t="inlineStr">
        <is>
          <t>DOCUMENT</t>
        </is>
      </c>
    </row>
    <row r="539">
      <c r="A539" t="inlineStr">
        <is>
          <t>Project Notos</t>
        </is>
      </c>
      <c r="B539" t="inlineStr">
        <is>
          <t>1.6.4.2</t>
        </is>
      </c>
      <c r="C539" t="inlineStr"/>
      <c r="D539" t="inlineStr">
        <is>
          <t>IM_confirmation request insurance erste bank_221201</t>
        </is>
      </c>
      <c r="E539" t="inlineStr">
        <is>
          <t>DOCUMENT</t>
        </is>
      </c>
    </row>
    <row r="540">
      <c r="A540" t="inlineStr">
        <is>
          <t>Project Notos</t>
        </is>
      </c>
      <c r="B540" t="inlineStr">
        <is>
          <t>1.6.4.3</t>
        </is>
      </c>
      <c r="C540" t="inlineStr"/>
      <c r="D540" t="inlineStr">
        <is>
          <t>IM_blocking certificate insurance erste bank_221201</t>
        </is>
      </c>
      <c r="E540" t="inlineStr">
        <is>
          <t>DOCUMENT</t>
        </is>
      </c>
    </row>
    <row r="541">
      <c r="A541" s="149" t="inlineStr">
        <is>
          <t>Project Notos</t>
        </is>
      </c>
      <c r="B541" s="149" t="inlineStr">
        <is>
          <t>1.7</t>
        </is>
      </c>
      <c r="C541" s="149" t="inlineStr">
        <is>
          <t>Fertinger Automotive Polska Sp. Z o.o. (FAP)</t>
        </is>
      </c>
      <c r="D541" s="149" t="inlineStr"/>
      <c r="E541" s="149" t="inlineStr">
        <is>
          <t>FOLDER</t>
        </is>
      </c>
    </row>
    <row r="542">
      <c r="A542" s="149" t="inlineStr">
        <is>
          <t>Project Notos</t>
        </is>
      </c>
      <c r="B542" s="149" t="inlineStr">
        <is>
          <t>1.7.1</t>
        </is>
      </c>
      <c r="C542" s="149" t="inlineStr">
        <is>
          <t>Corporate</t>
        </is>
      </c>
      <c r="D542" s="149" t="inlineStr"/>
      <c r="E542" s="149" t="inlineStr">
        <is>
          <t>FOLDER</t>
        </is>
      </c>
    </row>
    <row r="543">
      <c r="A543" s="149" t="inlineStr">
        <is>
          <t>Project Notos</t>
        </is>
      </c>
      <c r="B543" s="149" t="inlineStr">
        <is>
          <t>1.7.1.1</t>
        </is>
      </c>
      <c r="C543" s="149" t="inlineStr">
        <is>
          <t>Company register</t>
        </is>
      </c>
      <c r="D543" s="149" t="inlineStr"/>
      <c r="E543" s="149" t="inlineStr">
        <is>
          <t>FOLDER</t>
        </is>
      </c>
    </row>
    <row r="544">
      <c r="A544" t="inlineStr">
        <is>
          <t>Project Notos</t>
        </is>
      </c>
      <c r="B544" t="inlineStr">
        <is>
          <t>1.7.1.1.1</t>
        </is>
      </c>
      <c r="C544" t="inlineStr"/>
      <c r="D544" t="inlineStr">
        <is>
          <t>FAP_register excerpt current_20260302</t>
        </is>
      </c>
      <c r="E544" t="inlineStr">
        <is>
          <t>DOCUMENT</t>
        </is>
      </c>
    </row>
    <row r="545">
      <c r="A545" t="inlineStr">
        <is>
          <t>Project Notos</t>
        </is>
      </c>
      <c r="B545" t="inlineStr">
        <is>
          <t>1.7.1.1.2</t>
        </is>
      </c>
      <c r="C545" t="inlineStr"/>
      <c r="D545" t="inlineStr">
        <is>
          <t>FAP_register excerpt full_20260302</t>
        </is>
      </c>
      <c r="E545" t="inlineStr">
        <is>
          <t>DOCUMENT</t>
        </is>
      </c>
    </row>
    <row r="546">
      <c r="A546" t="inlineStr">
        <is>
          <t>Project Notos</t>
        </is>
      </c>
      <c r="B546" t="inlineStr">
        <is>
          <t>1.7.1.1.3</t>
        </is>
      </c>
      <c r="C546" t="inlineStr"/>
      <c r="D546" t="inlineStr">
        <is>
          <t>FAP_register excerpt current_20260326</t>
        </is>
      </c>
      <c r="E546" t="inlineStr">
        <is>
          <t>DOCUMENT</t>
        </is>
      </c>
    </row>
    <row r="547">
      <c r="A547" t="inlineStr">
        <is>
          <t>Project Notos</t>
        </is>
      </c>
      <c r="B547" t="inlineStr">
        <is>
          <t>1.7.1.1.4</t>
        </is>
      </c>
      <c r="C547" t="inlineStr"/>
      <c r="D547" t="inlineStr">
        <is>
          <t>FAP_register excerpt full_20260326</t>
        </is>
      </c>
      <c r="E547" t="inlineStr">
        <is>
          <t>DOCUMENT</t>
        </is>
      </c>
    </row>
    <row r="548">
      <c r="A548" s="149" t="inlineStr">
        <is>
          <t>Project Notos</t>
        </is>
      </c>
      <c r="B548" s="149" t="inlineStr">
        <is>
          <t>1.7.1.2</t>
        </is>
      </c>
      <c r="C548" s="149" t="inlineStr">
        <is>
          <t>Articles of association</t>
        </is>
      </c>
      <c r="D548" s="149" t="inlineStr"/>
      <c r="E548" s="149" t="inlineStr">
        <is>
          <t>FOLDER</t>
        </is>
      </c>
    </row>
    <row r="549">
      <c r="A549" t="inlineStr">
        <is>
          <t>Project Notos</t>
        </is>
      </c>
      <c r="B549" t="inlineStr">
        <is>
          <t>1.7.1.2.1</t>
        </is>
      </c>
      <c r="C549" t="inlineStr"/>
      <c r="D549" t="inlineStr">
        <is>
          <t>FAP_Articles of association_20230523</t>
        </is>
      </c>
      <c r="E549" t="inlineStr">
        <is>
          <t>DOCUMENT</t>
        </is>
      </c>
    </row>
    <row r="550">
      <c r="A550" t="inlineStr">
        <is>
          <t>Project Notos</t>
        </is>
      </c>
      <c r="B550" t="inlineStr">
        <is>
          <t>1.7.1.2.2</t>
        </is>
      </c>
      <c r="C550" t="inlineStr"/>
      <c r="D550" t="inlineStr">
        <is>
          <t>FAP_Attendance list at the Extraordinary General Meeting of Shareholders of the Company_20230523</t>
        </is>
      </c>
      <c r="E550" t="inlineStr">
        <is>
          <t>DOCUMENT</t>
        </is>
      </c>
    </row>
    <row r="551">
      <c r="A551" t="inlineStr">
        <is>
          <t>Project Notos</t>
        </is>
      </c>
      <c r="B551" t="inlineStr">
        <is>
          <t>1.7.1.2.3</t>
        </is>
      </c>
      <c r="C551" t="inlineStr"/>
      <c r="D551" t="inlineStr">
        <is>
          <t>FAP_Articles of association_20230523</t>
        </is>
      </c>
      <c r="E551" t="inlineStr">
        <is>
          <t>DOCUMENT</t>
        </is>
      </c>
    </row>
    <row r="552">
      <c r="A552" t="inlineStr">
        <is>
          <t>Project Notos</t>
        </is>
      </c>
      <c r="B552" t="inlineStr">
        <is>
          <t>1.7.1.2.4</t>
        </is>
      </c>
      <c r="C552" t="inlineStr"/>
      <c r="D552" t="inlineStr">
        <is>
          <t>FAP_articles of association_20151002</t>
        </is>
      </c>
      <c r="E552" t="inlineStr">
        <is>
          <t>DOCUMENT</t>
        </is>
      </c>
    </row>
    <row r="553">
      <c r="A553" t="inlineStr">
        <is>
          <t>Project Notos</t>
        </is>
      </c>
      <c r="B553" t="inlineStr">
        <is>
          <t>1.7.1.2.5</t>
        </is>
      </c>
      <c r="C553" t="inlineStr"/>
      <c r="D553" t="inlineStr">
        <is>
          <t>FAP_application to the registry court_20151005</t>
        </is>
      </c>
      <c r="E553" t="inlineStr">
        <is>
          <t>DOCUMENT</t>
        </is>
      </c>
    </row>
    <row r="554">
      <c r="A554" t="inlineStr">
        <is>
          <t>Project Notos</t>
        </is>
      </c>
      <c r="B554" t="inlineStr">
        <is>
          <t>1.7.1.2.6</t>
        </is>
      </c>
      <c r="C554" t="inlineStr"/>
      <c r="D554" t="inlineStr">
        <is>
          <t>FAP_resolution on opening the liquidation process_20250901</t>
        </is>
      </c>
      <c r="E554" t="inlineStr">
        <is>
          <t>DOCUMENT</t>
        </is>
      </c>
    </row>
    <row r="555">
      <c r="A555" s="149" t="inlineStr">
        <is>
          <t>Project Notos</t>
        </is>
      </c>
      <c r="B555" s="149" t="inlineStr">
        <is>
          <t>1.7.1.3</t>
        </is>
      </c>
      <c r="C555" s="149" t="inlineStr">
        <is>
          <t>Shareholder resolutions</t>
        </is>
      </c>
      <c r="D555" s="149" t="inlineStr"/>
      <c r="E555" s="149" t="inlineStr">
        <is>
          <t>FOLDER</t>
        </is>
      </c>
    </row>
    <row r="556">
      <c r="A556" t="inlineStr">
        <is>
          <t>Project Notos</t>
        </is>
      </c>
      <c r="B556" t="inlineStr">
        <is>
          <t>1.7.1.3.1</t>
        </is>
      </c>
      <c r="C556" t="inlineStr"/>
      <c r="D556" t="inlineStr">
        <is>
          <t>FAP_Resolution of the Shareholders’ Meeting on the increase of the Company’s share capital_20211220</t>
        </is>
      </c>
      <c r="E556" t="inlineStr">
        <is>
          <t>DOCUMENT</t>
        </is>
      </c>
    </row>
    <row r="557">
      <c r="A557" t="inlineStr">
        <is>
          <t>Project Notos</t>
        </is>
      </c>
      <c r="B557" t="inlineStr">
        <is>
          <t>1.7.1.3.2</t>
        </is>
      </c>
      <c r="C557" t="inlineStr"/>
      <c r="D557" t="inlineStr">
        <is>
          <t>FAP_Statement of the sole shareholder on the acquisition of shares in the increased share capital_20211220</t>
        </is>
      </c>
      <c r="E557" t="inlineStr">
        <is>
          <t>DOCUMENT</t>
        </is>
      </c>
    </row>
    <row r="558">
      <c r="A558" t="inlineStr">
        <is>
          <t>Project Notos</t>
        </is>
      </c>
      <c r="B558" t="inlineStr">
        <is>
          <t>1.7.1.3.3</t>
        </is>
      </c>
      <c r="C558" t="inlineStr"/>
      <c r="D558" t="inlineStr">
        <is>
          <t>FAP_Statement of the Management Board on the Full Payment of Contributions to the Increased Share Capital_20211222</t>
        </is>
      </c>
      <c r="E558" t="inlineStr">
        <is>
          <t>DOCUMENT</t>
        </is>
      </c>
    </row>
    <row r="559">
      <c r="A559" t="inlineStr">
        <is>
          <t>Project Notos</t>
        </is>
      </c>
      <c r="B559" t="inlineStr">
        <is>
          <t>1.7.1.3.4</t>
        </is>
      </c>
      <c r="C559" t="inlineStr"/>
      <c r="D559" t="inlineStr">
        <is>
          <t>FAP_Resolution of the Shareholders’ Meeting on the increase of the Company’s share capital_20230605</t>
        </is>
      </c>
      <c r="E559" t="inlineStr">
        <is>
          <t>DOCUMENT</t>
        </is>
      </c>
    </row>
    <row r="560">
      <c r="A560" t="inlineStr">
        <is>
          <t>Project Notos</t>
        </is>
      </c>
      <c r="B560" t="inlineStr">
        <is>
          <t>1.7.1.3.5</t>
        </is>
      </c>
      <c r="C560" t="inlineStr"/>
      <c r="D560" t="inlineStr">
        <is>
          <t>FAP_List of Shareholders_20230607</t>
        </is>
      </c>
      <c r="E560" t="inlineStr">
        <is>
          <t>DOCUMENT</t>
        </is>
      </c>
    </row>
    <row r="561">
      <c r="A561" t="inlineStr">
        <is>
          <t>Project Notos</t>
        </is>
      </c>
      <c r="B561" t="inlineStr">
        <is>
          <t>1.7.1.3.6</t>
        </is>
      </c>
      <c r="C561" t="inlineStr"/>
      <c r="D561" t="inlineStr">
        <is>
          <t>FAP_Statement of the sole shareholder on the acquisition of shares in the increased share capital_20230607</t>
        </is>
      </c>
      <c r="E561" t="inlineStr">
        <is>
          <t>DOCUMENT</t>
        </is>
      </c>
    </row>
    <row r="562">
      <c r="A562" t="inlineStr">
        <is>
          <t>Project Notos</t>
        </is>
      </c>
      <c r="B562" t="inlineStr">
        <is>
          <t>1.7.1.3.7</t>
        </is>
      </c>
      <c r="C562" t="inlineStr"/>
      <c r="D562" t="inlineStr">
        <is>
          <t>FAP_Statement of the Management Board on the Full Payment of Contributions to the Increased Share Capital_20230607</t>
        </is>
      </c>
      <c r="E562" t="inlineStr">
        <is>
          <t>DOCUMENT</t>
        </is>
      </c>
    </row>
    <row r="563">
      <c r="A563" t="inlineStr">
        <is>
          <t>Project Notos</t>
        </is>
      </c>
      <c r="B563" t="inlineStr">
        <is>
          <t>1.7.1.3.8</t>
        </is>
      </c>
      <c r="C563" t="inlineStr"/>
      <c r="D563" t="inlineStr">
        <is>
          <t>FAP_Attendance list at the Extraordinary General Meeting of Shareholders of the Company_20250901</t>
        </is>
      </c>
      <c r="E563" t="inlineStr">
        <is>
          <t>DOCUMENT</t>
        </is>
      </c>
    </row>
    <row r="564">
      <c r="A564" t="inlineStr">
        <is>
          <t>Project Notos</t>
        </is>
      </c>
      <c r="B564" t="inlineStr">
        <is>
          <t>1.7.1.3.9</t>
        </is>
      </c>
      <c r="C564" t="inlineStr"/>
      <c r="D564" t="inlineStr">
        <is>
          <t>FAP_Resolution on the dissolution of the company_20250901</t>
        </is>
      </c>
      <c r="E564" t="inlineStr">
        <is>
          <t>DOCUMENT</t>
        </is>
      </c>
    </row>
    <row r="565">
      <c r="A565" t="inlineStr">
        <is>
          <t>Project Notos</t>
        </is>
      </c>
      <c r="B565" t="inlineStr">
        <is>
          <t>1.7.1.3.10</t>
        </is>
      </c>
      <c r="C565" t="inlineStr"/>
      <c r="D565" t="inlineStr">
        <is>
          <t>FAP_articles of association_20250901</t>
        </is>
      </c>
      <c r="E565" t="inlineStr">
        <is>
          <t>DOCUMENT</t>
        </is>
      </c>
    </row>
    <row r="566">
      <c r="A566" t="inlineStr">
        <is>
          <t>Project Notos</t>
        </is>
      </c>
      <c r="B566" t="inlineStr">
        <is>
          <t>1.7.1.3.11</t>
        </is>
      </c>
      <c r="C566" t="inlineStr"/>
      <c r="D566" t="inlineStr">
        <is>
          <t>FAP_extraordinary shareholders meeting_20210928</t>
        </is>
      </c>
      <c r="E566" t="inlineStr">
        <is>
          <t>DOCUMENT</t>
        </is>
      </c>
    </row>
    <row r="567">
      <c r="A567" t="inlineStr">
        <is>
          <t>Project Notos</t>
        </is>
      </c>
      <c r="B567" t="inlineStr">
        <is>
          <t>1.7.1.3.12</t>
        </is>
      </c>
      <c r="C567" t="inlineStr"/>
      <c r="D567" t="inlineStr">
        <is>
          <t>FAP_extraordinary shareholders meeting_20250901</t>
        </is>
      </c>
      <c r="E567" t="inlineStr">
        <is>
          <t>DOCUMENT</t>
        </is>
      </c>
    </row>
    <row r="568">
      <c r="A568" t="inlineStr">
        <is>
          <t>Project Notos</t>
        </is>
      </c>
      <c r="B568" t="inlineStr">
        <is>
          <t>1.7.1.3.13</t>
        </is>
      </c>
      <c r="C568" t="inlineStr"/>
      <c r="D568" t="inlineStr">
        <is>
          <t>FAP_extraordinary shareholders meeting_20230523</t>
        </is>
      </c>
      <c r="E568" t="inlineStr">
        <is>
          <t>DOCUMENT</t>
        </is>
      </c>
    </row>
    <row r="569">
      <c r="A569" t="inlineStr">
        <is>
          <t>Project Notos</t>
        </is>
      </c>
      <c r="B569" t="inlineStr">
        <is>
          <t>1.7.1.3.14</t>
        </is>
      </c>
      <c r="C569" t="inlineStr"/>
      <c r="D569" t="inlineStr">
        <is>
          <t>FAP_ordinary shareholders meeting_20220321</t>
        </is>
      </c>
      <c r="E569" t="inlineStr">
        <is>
          <t>DOCUMENT</t>
        </is>
      </c>
    </row>
    <row r="570">
      <c r="A570" t="inlineStr">
        <is>
          <t>Project Notos</t>
        </is>
      </c>
      <c r="B570" t="inlineStr">
        <is>
          <t>1.7.1.3.15</t>
        </is>
      </c>
      <c r="C570" t="inlineStr"/>
      <c r="D570" t="inlineStr">
        <is>
          <t>FAP_ordinary shareholders meeting_20220321</t>
        </is>
      </c>
      <c r="E570" t="inlineStr">
        <is>
          <t>DOCUMENT</t>
        </is>
      </c>
    </row>
    <row r="571">
      <c r="A571" t="inlineStr">
        <is>
          <t>Project Notos</t>
        </is>
      </c>
      <c r="B571" t="inlineStr">
        <is>
          <t>1.7.1.3.16</t>
        </is>
      </c>
      <c r="C571" t="inlineStr"/>
      <c r="D571" t="inlineStr">
        <is>
          <t>FAP_ordinary shareholders meeting_20230601</t>
        </is>
      </c>
      <c r="E571" t="inlineStr">
        <is>
          <t>DOCUMENT</t>
        </is>
      </c>
    </row>
    <row r="572">
      <c r="A572" t="inlineStr">
        <is>
          <t>Project Notos</t>
        </is>
      </c>
      <c r="B572" t="inlineStr">
        <is>
          <t>1.7.1.3.17</t>
        </is>
      </c>
      <c r="C572" t="inlineStr"/>
      <c r="D572" t="inlineStr">
        <is>
          <t>FAP_ordinary shareholders meeting_20250409</t>
        </is>
      </c>
      <c r="E572" t="inlineStr">
        <is>
          <t>DOCUMENT</t>
        </is>
      </c>
    </row>
    <row r="573">
      <c r="A573" t="inlineStr">
        <is>
          <t>Project Notos</t>
        </is>
      </c>
      <c r="B573" t="inlineStr">
        <is>
          <t>1.7.1.3.18</t>
        </is>
      </c>
      <c r="C573" t="inlineStr"/>
      <c r="D573" t="inlineStr">
        <is>
          <t>FAP_extraordinary shareholders meeting_20230605</t>
        </is>
      </c>
      <c r="E573" t="inlineStr">
        <is>
          <t>DOCUMENT</t>
        </is>
      </c>
    </row>
    <row r="574">
      <c r="A574" t="inlineStr">
        <is>
          <t>Project Notos</t>
        </is>
      </c>
      <c r="B574" t="inlineStr">
        <is>
          <t>1.7.1.3.19</t>
        </is>
      </c>
      <c r="C574" t="inlineStr"/>
      <c r="D574" t="inlineStr">
        <is>
          <t>FAP_extraordinary shareholders meeting_20211220</t>
        </is>
      </c>
      <c r="E574" t="inlineStr">
        <is>
          <t>DOCUMENT</t>
        </is>
      </c>
    </row>
    <row r="575">
      <c r="A575" t="inlineStr">
        <is>
          <t>Project Notos</t>
        </is>
      </c>
      <c r="B575" t="inlineStr">
        <is>
          <t>1.7.1.3.20</t>
        </is>
      </c>
      <c r="C575" t="inlineStr"/>
      <c r="D575" t="inlineStr">
        <is>
          <t>FAP_extraordinary shareholders meeting_20211209</t>
        </is>
      </c>
      <c r="E575" t="inlineStr">
        <is>
          <t>DOCUMENT</t>
        </is>
      </c>
    </row>
    <row r="576">
      <c r="A576" t="inlineStr">
        <is>
          <t>Project Notos</t>
        </is>
      </c>
      <c r="B576" t="inlineStr">
        <is>
          <t>1.7.1.3.21</t>
        </is>
      </c>
      <c r="C576" t="inlineStr"/>
      <c r="D576" t="inlineStr">
        <is>
          <t>FAP_extraordinary shareholders meeting_20211220</t>
        </is>
      </c>
      <c r="E576" t="inlineStr">
        <is>
          <t>DOCUMENT</t>
        </is>
      </c>
    </row>
    <row r="577">
      <c r="A577" t="inlineStr">
        <is>
          <t>Project Notos</t>
        </is>
      </c>
      <c r="B577" t="inlineStr">
        <is>
          <t>1.7.1.3.22</t>
        </is>
      </c>
      <c r="C577" t="inlineStr"/>
      <c r="D577" t="inlineStr">
        <is>
          <t>FAP_extraordinary shareholders meeting_20241028</t>
        </is>
      </c>
      <c r="E577" t="inlineStr">
        <is>
          <t>DOCUMENT</t>
        </is>
      </c>
    </row>
    <row r="578">
      <c r="A578" t="inlineStr">
        <is>
          <t>Project Notos</t>
        </is>
      </c>
      <c r="B578" t="inlineStr">
        <is>
          <t>1.7.1.3.23</t>
        </is>
      </c>
      <c r="C578" t="inlineStr"/>
      <c r="D578" t="inlineStr">
        <is>
          <t>FAP_ordinary shareholders meeting_20220202</t>
        </is>
      </c>
      <c r="E578" t="inlineStr">
        <is>
          <t>DOCUMENT</t>
        </is>
      </c>
    </row>
    <row r="579">
      <c r="A579" t="inlineStr">
        <is>
          <t>Project Notos</t>
        </is>
      </c>
      <c r="B579" t="inlineStr">
        <is>
          <t>1.7.1.3.24</t>
        </is>
      </c>
      <c r="C579" t="inlineStr"/>
      <c r="D579" t="inlineStr">
        <is>
          <t>FAP_ordinary shareholders meeting_20220202</t>
        </is>
      </c>
      <c r="E579" t="inlineStr">
        <is>
          <t>DOCUMENT</t>
        </is>
      </c>
    </row>
    <row r="580">
      <c r="A580" t="inlineStr">
        <is>
          <t>Project Notos</t>
        </is>
      </c>
      <c r="B580" t="inlineStr">
        <is>
          <t>1.7.1.3.25</t>
        </is>
      </c>
      <c r="C580" t="inlineStr"/>
      <c r="D580" t="inlineStr">
        <is>
          <t>FAP_extraordinary shareholders meeting_20211220</t>
        </is>
      </c>
      <c r="E580" t="inlineStr">
        <is>
          <t>DOCUMENT</t>
        </is>
      </c>
    </row>
    <row r="581">
      <c r="A581" s="149" t="inlineStr">
        <is>
          <t>Project Notos</t>
        </is>
      </c>
      <c r="B581" s="149" t="inlineStr">
        <is>
          <t>1.7.1.4</t>
        </is>
      </c>
      <c r="C581" s="149" t="inlineStr">
        <is>
          <t>Chain of title</t>
        </is>
      </c>
      <c r="D581" s="149" t="inlineStr"/>
      <c r="E581" s="149" t="inlineStr">
        <is>
          <t>FOLDER</t>
        </is>
      </c>
    </row>
    <row r="582">
      <c r="A582" t="inlineStr">
        <is>
          <t>Project Notos</t>
        </is>
      </c>
      <c r="B582" t="inlineStr">
        <is>
          <t>1.7.1.4.1</t>
        </is>
      </c>
      <c r="C582" t="inlineStr"/>
      <c r="D582" t="inlineStr">
        <is>
          <t>FAP_list of shareholders_20230607</t>
        </is>
      </c>
      <c r="E582" t="inlineStr">
        <is>
          <t>DOCUMENT</t>
        </is>
      </c>
    </row>
    <row r="583">
      <c r="A583" t="inlineStr">
        <is>
          <t>Project Notos</t>
        </is>
      </c>
      <c r="B583" t="inlineStr">
        <is>
          <t>1.7.1.4.2</t>
        </is>
      </c>
      <c r="C583" t="inlineStr"/>
      <c r="D583" t="inlineStr">
        <is>
          <t>FAP_list of shareholders_20211222</t>
        </is>
      </c>
      <c r="E583" t="inlineStr">
        <is>
          <t>DOCUMENT</t>
        </is>
      </c>
    </row>
    <row r="584">
      <c r="A584" t="inlineStr">
        <is>
          <t>Project Notos</t>
        </is>
      </c>
      <c r="B584" t="inlineStr">
        <is>
          <t>1.7.1.4.3</t>
        </is>
      </c>
      <c r="C584" t="inlineStr"/>
      <c r="D584" t="inlineStr">
        <is>
          <t>FAP_details of the sole shareholder_20211222</t>
        </is>
      </c>
      <c r="E584" t="inlineStr">
        <is>
          <t>DOCUMENT</t>
        </is>
      </c>
    </row>
    <row r="585">
      <c r="A585" t="inlineStr">
        <is>
          <t>Project Notos</t>
        </is>
      </c>
      <c r="B585" t="inlineStr">
        <is>
          <t>1.7.1.4.4</t>
        </is>
      </c>
      <c r="C585" t="inlineStr"/>
      <c r="D585" t="inlineStr">
        <is>
          <t>FAP_list of shareholders_20211222</t>
        </is>
      </c>
      <c r="E585" t="inlineStr">
        <is>
          <t>DOCUMENT</t>
        </is>
      </c>
    </row>
    <row r="586">
      <c r="A586" s="149" t="inlineStr">
        <is>
          <t>Project Notos</t>
        </is>
      </c>
      <c r="B586" s="149" t="inlineStr">
        <is>
          <t>1.7.1.5</t>
        </is>
      </c>
      <c r="C586" s="149" t="inlineStr">
        <is>
          <t>Miscellaneous</t>
        </is>
      </c>
      <c r="D586" s="149" t="inlineStr"/>
      <c r="E586" s="149" t="inlineStr">
        <is>
          <t>FOLDER</t>
        </is>
      </c>
    </row>
    <row r="587">
      <c r="A587" t="inlineStr">
        <is>
          <t>Project Notos</t>
        </is>
      </c>
      <c r="B587" t="inlineStr">
        <is>
          <t>1.7.1.5.1</t>
        </is>
      </c>
      <c r="C587" t="inlineStr"/>
      <c r="D587" t="inlineStr">
        <is>
          <t>FAP_Extract of an entity from the Central Register of Beneficial Owners_20260302</t>
        </is>
      </c>
      <c r="E587" t="inlineStr">
        <is>
          <t>DOCUMENT</t>
        </is>
      </c>
    </row>
    <row r="588">
      <c r="A588" t="inlineStr">
        <is>
          <t>Project Notos</t>
        </is>
      </c>
      <c r="B588" t="inlineStr">
        <is>
          <t>1.7.1.5.2</t>
        </is>
      </c>
      <c r="C588" t="inlineStr"/>
      <c r="D588" t="inlineStr">
        <is>
          <t>FAP_register excerpt full_0000874217 (2)</t>
        </is>
      </c>
      <c r="E588" t="inlineStr">
        <is>
          <t>DOCUMENT</t>
        </is>
      </c>
    </row>
    <row r="589">
      <c r="A589" t="inlineStr">
        <is>
          <t>Project Notos</t>
        </is>
      </c>
      <c r="B589" t="inlineStr">
        <is>
          <t>1.7.1.5.3</t>
        </is>
      </c>
      <c r="C589" t="inlineStr"/>
      <c r="D589" t="inlineStr">
        <is>
          <t>FAP_statement on subscription of shares_20211220</t>
        </is>
      </c>
      <c r="E589" t="inlineStr">
        <is>
          <t>DOCUMENT</t>
        </is>
      </c>
    </row>
    <row r="590">
      <c r="A590" t="inlineStr">
        <is>
          <t>Project Notos</t>
        </is>
      </c>
      <c r="B590" t="inlineStr">
        <is>
          <t>1.7.1.5.4</t>
        </is>
      </c>
      <c r="C590" t="inlineStr"/>
      <c r="D590" t="inlineStr">
        <is>
          <t>FAP_management board statements_20211222</t>
        </is>
      </c>
      <c r="E590" t="inlineStr">
        <is>
          <t>DOCUMENT</t>
        </is>
      </c>
    </row>
    <row r="591">
      <c r="A591" t="inlineStr">
        <is>
          <t>Project Notos</t>
        </is>
      </c>
      <c r="B591" t="inlineStr">
        <is>
          <t>1.7.1.5.5</t>
        </is>
      </c>
      <c r="C591" t="inlineStr"/>
      <c r="D591" t="inlineStr">
        <is>
          <t>FAP_set-off agreement_20211222</t>
        </is>
      </c>
      <c r="E591" t="inlineStr">
        <is>
          <t>DOCUMENT</t>
        </is>
      </c>
    </row>
    <row r="592">
      <c r="A592" t="inlineStr">
        <is>
          <t>Project Notos</t>
        </is>
      </c>
      <c r="B592" t="inlineStr">
        <is>
          <t>1.7.1.5.6</t>
        </is>
      </c>
      <c r="C592" t="inlineStr"/>
      <c r="D592" t="inlineStr">
        <is>
          <t>FAP_application to the registry court_20230525</t>
        </is>
      </c>
      <c r="E592" t="inlineStr">
        <is>
          <t>DOCUMENT</t>
        </is>
      </c>
    </row>
    <row r="593">
      <c r="A593" t="inlineStr">
        <is>
          <t>Project Notos</t>
        </is>
      </c>
      <c r="B593" t="inlineStr">
        <is>
          <t>1.7.1.5.7</t>
        </is>
      </c>
      <c r="C593" t="inlineStr"/>
      <c r="D593" t="inlineStr">
        <is>
          <t>FAP_application to the registry court_20230620</t>
        </is>
      </c>
      <c r="E593" t="inlineStr">
        <is>
          <t>DOCUMENT</t>
        </is>
      </c>
    </row>
    <row r="594">
      <c r="A594" t="inlineStr">
        <is>
          <t>Project Notos</t>
        </is>
      </c>
      <c r="B594" t="inlineStr">
        <is>
          <t>1.7.1.5.8</t>
        </is>
      </c>
      <c r="C594" t="inlineStr"/>
      <c r="D594" t="inlineStr">
        <is>
          <t>FAP_PoA_20191120</t>
        </is>
      </c>
      <c r="E594" t="inlineStr">
        <is>
          <t>DOCUMENT</t>
        </is>
      </c>
    </row>
    <row r="595">
      <c r="A595" t="inlineStr">
        <is>
          <t>Project Notos</t>
        </is>
      </c>
      <c r="B595" t="inlineStr">
        <is>
          <t>1.7.1.5.9</t>
        </is>
      </c>
      <c r="C595" t="inlineStr"/>
      <c r="D595" t="inlineStr">
        <is>
          <t>FAP_PoA_20170315</t>
        </is>
      </c>
      <c r="E595" t="inlineStr">
        <is>
          <t>DOCUMENT</t>
        </is>
      </c>
    </row>
    <row r="596">
      <c r="A596" t="inlineStr">
        <is>
          <t>Project Notos</t>
        </is>
      </c>
      <c r="B596" t="inlineStr">
        <is>
          <t>1.7.1.5.10</t>
        </is>
      </c>
      <c r="C596" t="inlineStr"/>
      <c r="D596" t="inlineStr">
        <is>
          <t>FAP_PoA_20181009</t>
        </is>
      </c>
      <c r="E596" t="inlineStr">
        <is>
          <t>DOCUMENT</t>
        </is>
      </c>
    </row>
    <row r="597">
      <c r="A597" t="inlineStr">
        <is>
          <t>Project Notos</t>
        </is>
      </c>
      <c r="B597" t="inlineStr">
        <is>
          <t>1.7.1.5.11</t>
        </is>
      </c>
      <c r="C597" t="inlineStr"/>
      <c r="D597" t="inlineStr">
        <is>
          <t>FAP_PoA_20190709</t>
        </is>
      </c>
      <c r="E597" t="inlineStr">
        <is>
          <t>DOCUMENT</t>
        </is>
      </c>
    </row>
    <row r="598">
      <c r="A598" t="inlineStr">
        <is>
          <t>Project Notos</t>
        </is>
      </c>
      <c r="B598" t="inlineStr">
        <is>
          <t>1.7.1.5.12</t>
        </is>
      </c>
      <c r="C598" t="inlineStr"/>
      <c r="D598" t="inlineStr">
        <is>
          <t>FAP_PoA_20181009</t>
        </is>
      </c>
      <c r="E598" t="inlineStr">
        <is>
          <t>DOCUMENT</t>
        </is>
      </c>
    </row>
    <row r="599">
      <c r="A599" t="inlineStr">
        <is>
          <t>Project Notos</t>
        </is>
      </c>
      <c r="B599" t="inlineStr">
        <is>
          <t>1.7.1.5.13</t>
        </is>
      </c>
      <c r="C599" t="inlineStr"/>
      <c r="D599" t="inlineStr">
        <is>
          <t>FAP_PoA_20201203</t>
        </is>
      </c>
      <c r="E599" t="inlineStr">
        <is>
          <t>DOCUMENT</t>
        </is>
      </c>
    </row>
    <row r="600">
      <c r="A600" t="inlineStr">
        <is>
          <t>Project Notos</t>
        </is>
      </c>
      <c r="B600" t="inlineStr">
        <is>
          <t>1.7.1.5.14</t>
        </is>
      </c>
      <c r="C600" t="inlineStr"/>
      <c r="D600" t="inlineStr">
        <is>
          <t>FAP_PoA_20260825</t>
        </is>
      </c>
      <c r="E600" t="inlineStr">
        <is>
          <t>DOCUMENT</t>
        </is>
      </c>
    </row>
    <row r="601">
      <c r="A601" t="inlineStr">
        <is>
          <t>Project Notos</t>
        </is>
      </c>
      <c r="B601" t="inlineStr">
        <is>
          <t>1.7.1.5.15</t>
        </is>
      </c>
      <c r="C601" t="inlineStr"/>
      <c r="D601" t="inlineStr">
        <is>
          <t>FAP_PoA_20250616</t>
        </is>
      </c>
      <c r="E601" t="inlineStr">
        <is>
          <t>DOCUMENT</t>
        </is>
      </c>
    </row>
    <row r="602">
      <c r="A602" t="inlineStr">
        <is>
          <t>Project Notos</t>
        </is>
      </c>
      <c r="B602" t="inlineStr">
        <is>
          <t>1.7.1.5.16</t>
        </is>
      </c>
      <c r="C602" t="inlineStr"/>
      <c r="D602" t="inlineStr">
        <is>
          <t>FAP_PoA_20170623</t>
        </is>
      </c>
      <c r="E602" t="inlineStr">
        <is>
          <t>DOCUMENT</t>
        </is>
      </c>
    </row>
    <row r="603">
      <c r="A603" t="inlineStr">
        <is>
          <t>Project Notos</t>
        </is>
      </c>
      <c r="B603" t="inlineStr">
        <is>
          <t>1.7.1.5.17</t>
        </is>
      </c>
      <c r="C603" t="inlineStr"/>
      <c r="D603" t="inlineStr">
        <is>
          <t>FAP_PoA_20211217</t>
        </is>
      </c>
      <c r="E603" t="inlineStr">
        <is>
          <t>DOCUMENT</t>
        </is>
      </c>
    </row>
    <row r="604">
      <c r="A604" t="inlineStr">
        <is>
          <t>Project Notos</t>
        </is>
      </c>
      <c r="B604" t="inlineStr">
        <is>
          <t>1.7.1.5.18</t>
        </is>
      </c>
      <c r="C604" t="inlineStr"/>
      <c r="D604" t="inlineStr">
        <is>
          <t>FAP_PoA_20230809</t>
        </is>
      </c>
      <c r="E604" t="inlineStr">
        <is>
          <t>DOCUMENT</t>
        </is>
      </c>
    </row>
    <row r="605">
      <c r="A605" t="inlineStr">
        <is>
          <t>Project Notos</t>
        </is>
      </c>
      <c r="B605" t="inlineStr">
        <is>
          <t>1.7.1.5.19</t>
        </is>
      </c>
      <c r="C605" t="inlineStr"/>
      <c r="D605" t="inlineStr">
        <is>
          <t>FAP_termination agreement_2025-09-15</t>
        </is>
      </c>
      <c r="E605" t="inlineStr">
        <is>
          <t>DOCUMENT</t>
        </is>
      </c>
    </row>
    <row r="606">
      <c r="A606" t="inlineStr">
        <is>
          <t>Project Notos</t>
        </is>
      </c>
      <c r="B606" t="inlineStr">
        <is>
          <t>1.7.1.5.20</t>
        </is>
      </c>
      <c r="C606" t="inlineStr"/>
      <c r="D606" t="inlineStr">
        <is>
          <t>FAP_notice of termination_2025-09-15</t>
        </is>
      </c>
      <c r="E606" t="inlineStr">
        <is>
          <t>DOCUMENT</t>
        </is>
      </c>
    </row>
    <row r="607">
      <c r="A607" s="149" t="inlineStr">
        <is>
          <t>Project Notos</t>
        </is>
      </c>
      <c r="B607" s="149" t="inlineStr">
        <is>
          <t>1.7.2</t>
        </is>
      </c>
      <c r="C607" s="149" t="inlineStr">
        <is>
          <t>Real Estate</t>
        </is>
      </c>
      <c r="D607" s="149" t="inlineStr"/>
      <c r="E607" s="149" t="inlineStr">
        <is>
          <t>FOLDER</t>
        </is>
      </c>
    </row>
    <row r="608">
      <c r="A608" t="inlineStr">
        <is>
          <t>Project Notos</t>
        </is>
      </c>
      <c r="B608" t="inlineStr">
        <is>
          <t>1.7.2.1</t>
        </is>
      </c>
      <c r="C608" t="inlineStr"/>
      <c r="D608" t="inlineStr">
        <is>
          <t>FAP_sublease agreement_20260210</t>
        </is>
      </c>
      <c r="E608" t="inlineStr">
        <is>
          <t>DOCUMENT</t>
        </is>
      </c>
    </row>
    <row r="609">
      <c r="A609" s="149" t="inlineStr">
        <is>
          <t>Project Notos</t>
        </is>
      </c>
      <c r="B609" s="149" t="inlineStr">
        <is>
          <t>1.7.3</t>
        </is>
      </c>
      <c r="C609" s="149" t="inlineStr">
        <is>
          <t>Data protection</t>
        </is>
      </c>
      <c r="D609" s="149" t="inlineStr"/>
      <c r="E609" s="149" t="inlineStr">
        <is>
          <t>FOLDER</t>
        </is>
      </c>
    </row>
    <row r="610">
      <c r="A610" t="inlineStr">
        <is>
          <t>Project Notos</t>
        </is>
      </c>
      <c r="B610" t="inlineStr">
        <is>
          <t>1.7.3.1</t>
        </is>
      </c>
      <c r="C610" t="inlineStr"/>
      <c r="D610" t="inlineStr">
        <is>
          <t>FAP_GDPR information clauses</t>
        </is>
      </c>
      <c r="E610" t="inlineStr">
        <is>
          <t>DOCUMENT</t>
        </is>
      </c>
    </row>
    <row r="611">
      <c r="A611" t="inlineStr">
        <is>
          <t>Project Notos</t>
        </is>
      </c>
      <c r="B611" t="inlineStr">
        <is>
          <t>1.7.3.2</t>
        </is>
      </c>
      <c r="C611" t="inlineStr"/>
      <c r="D611" t="inlineStr">
        <is>
          <t>FAP_IT policy regarding GDPR</t>
        </is>
      </c>
      <c r="E611" t="inlineStr">
        <is>
          <t>DOCUMENT</t>
        </is>
      </c>
    </row>
    <row r="612">
      <c r="A612" t="inlineStr">
        <is>
          <t>Project Notos</t>
        </is>
      </c>
      <c r="B612" t="inlineStr">
        <is>
          <t>1.7.3.3</t>
        </is>
      </c>
      <c r="C612" t="inlineStr"/>
      <c r="D612" t="inlineStr">
        <is>
          <t>FAP_personal data protection policy_KKW</t>
        </is>
      </c>
      <c r="E612" t="inlineStr">
        <is>
          <t>DOCUMENT</t>
        </is>
      </c>
    </row>
    <row r="613">
      <c r="A613" s="149" t="inlineStr">
        <is>
          <t>Project Notos</t>
        </is>
      </c>
      <c r="B613" s="149" t="inlineStr">
        <is>
          <t>1.8</t>
        </is>
      </c>
      <c r="C613" s="149" t="inlineStr">
        <is>
          <t>Fertinger Automotive North America Inc. (FA US)</t>
        </is>
      </c>
      <c r="D613" s="149" t="inlineStr"/>
      <c r="E613" s="149" t="inlineStr">
        <is>
          <t>FOLDER</t>
        </is>
      </c>
    </row>
    <row r="614">
      <c r="A614" s="149" t="inlineStr">
        <is>
          <t>Project Notos</t>
        </is>
      </c>
      <c r="B614" s="149" t="inlineStr">
        <is>
          <t>1.8.1</t>
        </is>
      </c>
      <c r="C614" s="149" t="inlineStr">
        <is>
          <t>Corporate</t>
        </is>
      </c>
      <c r="D614" s="149" t="inlineStr"/>
      <c r="E614" s="149" t="inlineStr">
        <is>
          <t>FOLDER</t>
        </is>
      </c>
    </row>
    <row r="615">
      <c r="A615" s="149" t="inlineStr">
        <is>
          <t>Project Notos</t>
        </is>
      </c>
      <c r="B615" s="149" t="inlineStr">
        <is>
          <t>1.8.1.1</t>
        </is>
      </c>
      <c r="C615" s="149" t="inlineStr">
        <is>
          <t>Company register</t>
        </is>
      </c>
      <c r="D615" s="149" t="inlineStr"/>
      <c r="E615" s="149" t="inlineStr">
        <is>
          <t>FOLDER</t>
        </is>
      </c>
    </row>
    <row r="616">
      <c r="A616" t="inlineStr">
        <is>
          <t>Project Notos</t>
        </is>
      </c>
      <c r="B616" t="inlineStr">
        <is>
          <t>1.8.1.1.1</t>
        </is>
      </c>
      <c r="C616" t="inlineStr"/>
      <c r="D616" t="inlineStr">
        <is>
          <t>FA US_name change_220309</t>
        </is>
      </c>
      <c r="E616" t="inlineStr">
        <is>
          <t>DOCUMENT</t>
        </is>
      </c>
    </row>
    <row r="617">
      <c r="A617" s="149" t="inlineStr">
        <is>
          <t>Project Notos</t>
        </is>
      </c>
      <c r="B617" s="149" t="inlineStr">
        <is>
          <t>1.8.1.2</t>
        </is>
      </c>
      <c r="C617" s="149" t="inlineStr">
        <is>
          <t>Articles of association</t>
        </is>
      </c>
      <c r="D617" s="149" t="inlineStr"/>
      <c r="E617" s="149" t="inlineStr">
        <is>
          <t>FOLDER</t>
        </is>
      </c>
    </row>
    <row r="618">
      <c r="A618" t="inlineStr">
        <is>
          <t>Project Notos</t>
        </is>
      </c>
      <c r="B618" t="inlineStr">
        <is>
          <t>1.8.1.2.1</t>
        </is>
      </c>
      <c r="C618" t="inlineStr"/>
      <c r="D618" t="inlineStr">
        <is>
          <t>FA US_bylaws_150911</t>
        </is>
      </c>
      <c r="E618" t="inlineStr">
        <is>
          <t>DOCUMENT</t>
        </is>
      </c>
    </row>
    <row r="619">
      <c r="A619" t="inlineStr">
        <is>
          <t>Project Notos</t>
        </is>
      </c>
      <c r="B619" t="inlineStr">
        <is>
          <t>1.8.1.2.2</t>
        </is>
      </c>
      <c r="C619" t="inlineStr"/>
      <c r="D619" t="inlineStr">
        <is>
          <t>FA US_name change_220903</t>
        </is>
      </c>
      <c r="E619" t="inlineStr">
        <is>
          <t>DOCUMENT</t>
        </is>
      </c>
    </row>
    <row r="620">
      <c r="A620" t="inlineStr">
        <is>
          <t>Project Notos</t>
        </is>
      </c>
      <c r="B620" t="inlineStr">
        <is>
          <t>1.8.1.2.3</t>
        </is>
      </c>
      <c r="C620" t="inlineStr"/>
      <c r="D620" t="inlineStr">
        <is>
          <t>FA US_secretarys certificate_220422</t>
        </is>
      </c>
      <c r="E620" t="inlineStr">
        <is>
          <t>DOCUMENT</t>
        </is>
      </c>
    </row>
    <row r="621">
      <c r="A621" s="149" t="inlineStr">
        <is>
          <t>Project Notos</t>
        </is>
      </c>
      <c r="B621" s="149" t="inlineStr">
        <is>
          <t>1.8.1.3</t>
        </is>
      </c>
      <c r="C621" s="149" t="inlineStr">
        <is>
          <t>Miscellaneous</t>
        </is>
      </c>
      <c r="D621" s="149" t="inlineStr"/>
      <c r="E621" s="149" t="inlineStr">
        <is>
          <t>FOLDER</t>
        </is>
      </c>
    </row>
    <row r="622">
      <c r="A622" t="inlineStr">
        <is>
          <t>Project Notos</t>
        </is>
      </c>
      <c r="B622" t="inlineStr">
        <is>
          <t>1.8.1.3.1</t>
        </is>
      </c>
      <c r="C622" t="inlineStr"/>
      <c r="D622" t="inlineStr">
        <is>
          <t>FA US_certificate of good standing_220310</t>
        </is>
      </c>
      <c r="E622" t="inlineStr">
        <is>
          <t>DOCUMENT</t>
        </is>
      </c>
    </row>
    <row r="623">
      <c r="A623" s="149" t="inlineStr">
        <is>
          <t>Project Notos</t>
        </is>
      </c>
      <c r="B623" s="149" t="inlineStr">
        <is>
          <t>1.9</t>
        </is>
      </c>
      <c r="C623" s="149" t="inlineStr">
        <is>
          <t>Innerio (Changsha) Thermal Technology Co. Ltd. (ITTC)</t>
        </is>
      </c>
      <c r="D623" s="149" t="inlineStr"/>
      <c r="E623" s="149" t="inlineStr">
        <is>
          <t>FOLDER</t>
        </is>
      </c>
    </row>
    <row r="624">
      <c r="A624" s="149" t="inlineStr">
        <is>
          <t>Project Notos</t>
        </is>
      </c>
      <c r="B624" s="149" t="inlineStr">
        <is>
          <t>1.9.1</t>
        </is>
      </c>
      <c r="C624" s="149" t="inlineStr">
        <is>
          <t>Corporate</t>
        </is>
      </c>
      <c r="D624" s="149" t="inlineStr"/>
      <c r="E624" s="149" t="inlineStr">
        <is>
          <t>FOLDER</t>
        </is>
      </c>
    </row>
    <row r="625">
      <c r="A625" s="149" t="inlineStr">
        <is>
          <t>Project Notos</t>
        </is>
      </c>
      <c r="B625" s="149" t="inlineStr">
        <is>
          <t>1.9.1.1</t>
        </is>
      </c>
      <c r="C625" s="149" t="inlineStr">
        <is>
          <t>Company register</t>
        </is>
      </c>
      <c r="D625" s="149" t="inlineStr"/>
      <c r="E625" s="149" t="inlineStr">
        <is>
          <t>FOLDER</t>
        </is>
      </c>
    </row>
    <row r="626">
      <c r="A626" t="inlineStr">
        <is>
          <t>Project Notos</t>
        </is>
      </c>
      <c r="B626" t="inlineStr">
        <is>
          <t>1.9.1.1.1</t>
        </is>
      </c>
      <c r="C626" t="inlineStr"/>
      <c r="D626" t="inlineStr">
        <is>
          <t>ITTC_ Qichacha Report_260309</t>
        </is>
      </c>
      <c r="E626" t="inlineStr">
        <is>
          <t>DOCUMENT</t>
        </is>
      </c>
    </row>
    <row r="627">
      <c r="A627" t="inlineStr">
        <is>
          <t>Project Notos</t>
        </is>
      </c>
      <c r="B627" t="inlineStr">
        <is>
          <t>1.9.1.1.2</t>
        </is>
      </c>
      <c r="C627" t="inlineStr"/>
      <c r="D627" t="inlineStr">
        <is>
          <t>ITTC_ Qichacha Report_EN DeepL translation_260903</t>
        </is>
      </c>
      <c r="E627" t="inlineStr">
        <is>
          <t>DOCUMENT</t>
        </is>
      </c>
    </row>
    <row r="628">
      <c r="A628" t="inlineStr">
        <is>
          <t>Project Notos</t>
        </is>
      </c>
      <c r="B628" t="inlineStr">
        <is>
          <t>1.9.1.1.3</t>
        </is>
      </c>
      <c r="C628" t="inlineStr"/>
      <c r="D628" t="inlineStr">
        <is>
          <t>ITTC_NECIPS Report_CN_260903</t>
        </is>
      </c>
      <c r="E628" t="inlineStr">
        <is>
          <t>DOCUMENT</t>
        </is>
      </c>
    </row>
    <row r="629">
      <c r="A629" t="inlineStr">
        <is>
          <t>Project Notos</t>
        </is>
      </c>
      <c r="B629" t="inlineStr">
        <is>
          <t>1.9.1.1.4</t>
        </is>
      </c>
      <c r="C629" t="inlineStr"/>
      <c r="D629" t="inlineStr">
        <is>
          <t>ITTC_NECIPS Report_EN DeepL translation_260903</t>
        </is>
      </c>
      <c r="E629" t="inlineStr">
        <is>
          <t>DOCUMENT</t>
        </is>
      </c>
    </row>
    <row r="630">
      <c r="A630" t="inlineStr">
        <is>
          <t>Project Notos</t>
        </is>
      </c>
      <c r="B630" t="inlineStr">
        <is>
          <t>1.9.1.1.5</t>
        </is>
      </c>
      <c r="C630" t="inlineStr"/>
      <c r="D630" t="inlineStr">
        <is>
          <t>ITTC_AMR Archive</t>
        </is>
      </c>
      <c r="E630" t="inlineStr">
        <is>
          <t>DOCUMENT</t>
        </is>
      </c>
    </row>
    <row r="631">
      <c r="A631" s="149" t="inlineStr">
        <is>
          <t>Project Notos</t>
        </is>
      </c>
      <c r="B631" s="149" t="inlineStr">
        <is>
          <t>1.9.1.2</t>
        </is>
      </c>
      <c r="C631" s="149" t="inlineStr">
        <is>
          <t>Articles of association</t>
        </is>
      </c>
      <c r="D631" s="149" t="inlineStr"/>
      <c r="E631" s="149" t="inlineStr">
        <is>
          <t>FOLDER</t>
        </is>
      </c>
    </row>
    <row r="632">
      <c r="A632" t="inlineStr">
        <is>
          <t>Project Notos</t>
        </is>
      </c>
      <c r="B632" t="inlineStr">
        <is>
          <t>1.9.1.2.1</t>
        </is>
      </c>
      <c r="C632" t="inlineStr"/>
      <c r="D632" t="inlineStr">
        <is>
          <t>ITTC_AoA_241218</t>
        </is>
      </c>
      <c r="E632" t="inlineStr">
        <is>
          <t>DOCUMENT</t>
        </is>
      </c>
    </row>
    <row r="633">
      <c r="A633" s="149" t="inlineStr">
        <is>
          <t>Project Notos</t>
        </is>
      </c>
      <c r="B633" s="149" t="inlineStr">
        <is>
          <t>1.9.1.3</t>
        </is>
      </c>
      <c r="C633" s="149" t="inlineStr">
        <is>
          <t>Shareholder resolutions</t>
        </is>
      </c>
      <c r="D633" s="149" t="inlineStr"/>
      <c r="E633" s="149" t="inlineStr">
        <is>
          <t>FOLDER</t>
        </is>
      </c>
    </row>
    <row r="634">
      <c r="A634" t="inlineStr">
        <is>
          <t>Project Notos</t>
        </is>
      </c>
      <c r="B634" t="inlineStr">
        <is>
          <t>1.9.1.3.1</t>
        </is>
      </c>
      <c r="C634" t="inlineStr"/>
      <c r="D634" t="inlineStr">
        <is>
          <t>Shareholder Decision on Change of Legal Representative</t>
        </is>
      </c>
      <c r="E634" t="inlineStr">
        <is>
          <t>DOCUMENT</t>
        </is>
      </c>
    </row>
    <row r="635">
      <c r="A635" t="inlineStr">
        <is>
          <t>Project Notos</t>
        </is>
      </c>
      <c r="B635" t="inlineStr">
        <is>
          <t>1.9.1.3.2</t>
        </is>
      </c>
      <c r="C635" t="inlineStr"/>
      <c r="D635" t="inlineStr">
        <is>
          <t>Shareholder Decision on Corporate Change in 2022</t>
        </is>
      </c>
      <c r="E635" t="inlineStr">
        <is>
          <t>DOCUMENT</t>
        </is>
      </c>
    </row>
    <row r="636">
      <c r="A636" s="149" t="inlineStr">
        <is>
          <t>Project Notos</t>
        </is>
      </c>
      <c r="B636" s="149" t="inlineStr">
        <is>
          <t>1.9.1.4</t>
        </is>
      </c>
      <c r="C636" s="149" t="inlineStr">
        <is>
          <t>Miscellaneous</t>
        </is>
      </c>
      <c r="D636" s="149" t="inlineStr"/>
      <c r="E636" s="149" t="inlineStr">
        <is>
          <t>FOLDER</t>
        </is>
      </c>
    </row>
    <row r="637">
      <c r="A637" s="149" t="inlineStr">
        <is>
          <t>Project Notos</t>
        </is>
      </c>
      <c r="B637" s="149" t="inlineStr">
        <is>
          <t>1.9.1.4.1</t>
        </is>
      </c>
      <c r="C637" s="149" t="inlineStr">
        <is>
          <t>Business License</t>
        </is>
      </c>
      <c r="D637" s="149" t="inlineStr"/>
      <c r="E637" s="149" t="inlineStr">
        <is>
          <t>FOLDER</t>
        </is>
      </c>
    </row>
    <row r="638">
      <c r="A638" t="inlineStr">
        <is>
          <t>Project Notos</t>
        </is>
      </c>
      <c r="B638" t="inlineStr">
        <is>
          <t>1.9.1.4.1.1</t>
        </is>
      </c>
      <c r="C638" t="inlineStr"/>
      <c r="D638" t="inlineStr">
        <is>
          <t>Business License of Innerio Changsha</t>
        </is>
      </c>
      <c r="E638" t="inlineStr">
        <is>
          <t>DOCUMENT</t>
        </is>
      </c>
    </row>
    <row r="639">
      <c r="A639" t="inlineStr">
        <is>
          <t>Project Notos</t>
        </is>
      </c>
      <c r="B639" t="inlineStr">
        <is>
          <t>1.9.1.4.1.2</t>
        </is>
      </c>
      <c r="C639" t="inlineStr"/>
      <c r="D639" t="inlineStr">
        <is>
          <t>Business License - Duplicate</t>
        </is>
      </c>
      <c r="E639" t="inlineStr">
        <is>
          <t>DOCUMENT</t>
        </is>
      </c>
    </row>
    <row r="640">
      <c r="A640" t="inlineStr">
        <is>
          <t>Project Notos</t>
        </is>
      </c>
      <c r="B640" t="inlineStr">
        <is>
          <t>1.9.1.4.1.3</t>
        </is>
      </c>
      <c r="C640" t="inlineStr"/>
      <c r="D640" t="inlineStr">
        <is>
          <t>Business License - Original</t>
        </is>
      </c>
      <c r="E640" t="inlineStr">
        <is>
          <t>DOCUMENT</t>
        </is>
      </c>
    </row>
    <row r="641">
      <c r="A641" s="149" t="inlineStr">
        <is>
          <t>Project Notos</t>
        </is>
      </c>
      <c r="B641" s="149" t="inlineStr">
        <is>
          <t>1.9.1.5</t>
        </is>
      </c>
      <c r="C641" s="149" t="inlineStr">
        <is>
          <t>Company change</t>
        </is>
      </c>
      <c r="D641" s="149" t="inlineStr"/>
      <c r="E641" s="149" t="inlineStr">
        <is>
          <t>FOLDER</t>
        </is>
      </c>
    </row>
    <row r="642">
      <c r="A642" s="149" t="inlineStr">
        <is>
          <t>Project Notos</t>
        </is>
      </c>
      <c r="B642" s="149" t="inlineStr">
        <is>
          <t>1.9.1.5.1</t>
        </is>
      </c>
      <c r="C642" s="149" t="inlineStr">
        <is>
          <t>Change of Legal Representative</t>
        </is>
      </c>
      <c r="D642" s="149" t="inlineStr"/>
      <c r="E642" s="149" t="inlineStr">
        <is>
          <t>FOLDER</t>
        </is>
      </c>
    </row>
    <row r="643">
      <c r="A643" t="inlineStr">
        <is>
          <t>Project Notos</t>
        </is>
      </c>
      <c r="B643" t="inlineStr">
        <is>
          <t>1.9.1.5.1.1</t>
        </is>
      </c>
      <c r="C643" t="inlineStr"/>
      <c r="D643" t="inlineStr">
        <is>
          <t>Shareholder Decision on Change of Legal Representative</t>
        </is>
      </c>
      <c r="E643" t="inlineStr">
        <is>
          <t>DOCUMENT</t>
        </is>
      </c>
    </row>
    <row r="644">
      <c r="A644" t="inlineStr">
        <is>
          <t>Project Notos</t>
        </is>
      </c>
      <c r="B644" t="inlineStr">
        <is>
          <t>1.9.1.5.1.2</t>
        </is>
      </c>
      <c r="C644" t="inlineStr"/>
      <c r="D644" t="inlineStr">
        <is>
          <t>Appointment Letter for the New Legal Representative (Executive Director)</t>
        </is>
      </c>
      <c r="E644" t="inlineStr">
        <is>
          <t>DOCUMENT</t>
        </is>
      </c>
    </row>
    <row r="645">
      <c r="A645" t="inlineStr">
        <is>
          <t>Project Notos</t>
        </is>
      </c>
      <c r="B645" t="inlineStr">
        <is>
          <t>1.9.1.5.1.3</t>
        </is>
      </c>
      <c r="C645" t="inlineStr"/>
      <c r="D645" t="inlineStr">
        <is>
          <t>Filing Form for Change of Legal Representative</t>
        </is>
      </c>
      <c r="E645" t="inlineStr">
        <is>
          <t>DOCUMENT</t>
        </is>
      </c>
    </row>
    <row r="646">
      <c r="A646" s="149" t="inlineStr">
        <is>
          <t>Project Notos</t>
        </is>
      </c>
      <c r="B646" s="149" t="inlineStr">
        <is>
          <t>1.9.1.5.2</t>
        </is>
      </c>
      <c r="C646" s="149" t="inlineStr">
        <is>
          <t>Company Change in 2022</t>
        </is>
      </c>
      <c r="D646" s="149" t="inlineStr"/>
      <c r="E646" s="149" t="inlineStr">
        <is>
          <t>FOLDER</t>
        </is>
      </c>
    </row>
    <row r="647">
      <c r="A647" t="inlineStr">
        <is>
          <t>Project Notos</t>
        </is>
      </c>
      <c r="B647" t="inlineStr">
        <is>
          <t>1.9.1.5.2.1</t>
        </is>
      </c>
      <c r="C647" t="inlineStr"/>
      <c r="D647" t="inlineStr">
        <is>
          <t>Shareholder Decision on Corporate Change in 2022</t>
        </is>
      </c>
      <c r="E647" t="inlineStr">
        <is>
          <t>DOCUMENT</t>
        </is>
      </c>
    </row>
    <row r="648">
      <c r="A648" t="inlineStr">
        <is>
          <t>Project Notos</t>
        </is>
      </c>
      <c r="B648" t="inlineStr">
        <is>
          <t>1.9.1.5.2.2</t>
        </is>
      </c>
      <c r="C648" t="inlineStr"/>
      <c r="D648" t="inlineStr">
        <is>
          <t>Amendment of AoA in 2022</t>
        </is>
      </c>
      <c r="E648" t="inlineStr">
        <is>
          <t>DOCUMENT</t>
        </is>
      </c>
    </row>
    <row r="649">
      <c r="A649" s="149" t="inlineStr">
        <is>
          <t>Project Notos</t>
        </is>
      </c>
      <c r="B649" s="149" t="inlineStr">
        <is>
          <t>1.9.1.5.3</t>
        </is>
      </c>
      <c r="C649" s="149" t="inlineStr">
        <is>
          <t>Suspension of Business</t>
        </is>
      </c>
      <c r="D649" s="149" t="inlineStr"/>
      <c r="E649" s="149" t="inlineStr">
        <is>
          <t>FOLDER</t>
        </is>
      </c>
    </row>
    <row r="650">
      <c r="A650" t="inlineStr">
        <is>
          <t>Project Notos</t>
        </is>
      </c>
      <c r="B650" t="inlineStr">
        <is>
          <t>1.9.1.5.3.1</t>
        </is>
      </c>
      <c r="C650" t="inlineStr"/>
      <c r="D650" t="inlineStr">
        <is>
          <t>Filing Form for Application of Suspension of Business</t>
        </is>
      </c>
      <c r="E650" t="inlineStr">
        <is>
          <t>DOCUMENT</t>
        </is>
      </c>
    </row>
    <row r="651">
      <c r="A651" t="inlineStr">
        <is>
          <t>Project Notos</t>
        </is>
      </c>
      <c r="B651" t="inlineStr">
        <is>
          <t>1.9.1.5.3.2</t>
        </is>
      </c>
      <c r="C651" t="inlineStr"/>
      <c r="D651" t="inlineStr">
        <is>
          <t>Public Notice Termination of Suspension of Business</t>
        </is>
      </c>
      <c r="E651" t="inlineStr">
        <is>
          <t>DOCUMENT</t>
        </is>
      </c>
    </row>
    <row r="652">
      <c r="A652" t="inlineStr">
        <is>
          <t>Project Notos</t>
        </is>
      </c>
      <c r="B652" t="inlineStr">
        <is>
          <t>1.9.1.5.3.3</t>
        </is>
      </c>
      <c r="C652" t="inlineStr"/>
      <c r="D652" t="inlineStr">
        <is>
          <t>Receipt for Filing of Suspension of Business</t>
        </is>
      </c>
      <c r="E652" t="inlineStr">
        <is>
          <t>DOCUMENT</t>
        </is>
      </c>
    </row>
    <row r="653">
      <c r="A653" t="inlineStr">
        <is>
          <t>Project Notos</t>
        </is>
      </c>
      <c r="B653" t="inlineStr">
        <is>
          <t>1.9.1.5.3.4</t>
        </is>
      </c>
      <c r="C653" t="inlineStr"/>
      <c r="D653" t="inlineStr">
        <is>
          <t>Statement Letter for Application of Suspension of Business</t>
        </is>
      </c>
      <c r="E653" t="inlineStr">
        <is>
          <t>DOCUMENT</t>
        </is>
      </c>
    </row>
    <row r="654">
      <c r="A654" s="149" t="inlineStr">
        <is>
          <t>Project Notos</t>
        </is>
      </c>
      <c r="B654" s="149" t="inlineStr">
        <is>
          <t>1.10</t>
        </is>
      </c>
      <c r="C654" s="149" t="inlineStr">
        <is>
          <t>WMA Weinviertler Mechatronik Akademie GmbH (WMA)</t>
        </is>
      </c>
      <c r="D654" s="149" t="inlineStr"/>
      <c r="E654" s="149" t="inlineStr">
        <is>
          <t>FOLDER</t>
        </is>
      </c>
    </row>
    <row r="655">
      <c r="A655" s="149" t="inlineStr">
        <is>
          <t>Project Notos</t>
        </is>
      </c>
      <c r="B655" s="149" t="inlineStr">
        <is>
          <t>1.10.1</t>
        </is>
      </c>
      <c r="C655" s="149" t="inlineStr">
        <is>
          <t>Corporate</t>
        </is>
      </c>
      <c r="D655" s="149" t="inlineStr"/>
      <c r="E655" s="149" t="inlineStr">
        <is>
          <t>FOLDER</t>
        </is>
      </c>
    </row>
    <row r="656">
      <c r="A656" s="149" t="inlineStr">
        <is>
          <t>Project Notos</t>
        </is>
      </c>
      <c r="B656" s="149" t="inlineStr">
        <is>
          <t>1.10.1.1</t>
        </is>
      </c>
      <c r="C656" s="149" t="inlineStr">
        <is>
          <t>Company register</t>
        </is>
      </c>
      <c r="D656" s="149" t="inlineStr"/>
      <c r="E656" s="149" t="inlineStr">
        <is>
          <t>FOLDER</t>
        </is>
      </c>
    </row>
    <row r="657">
      <c r="A657" t="inlineStr">
        <is>
          <t>Project Notos</t>
        </is>
      </c>
      <c r="B657" t="inlineStr">
        <is>
          <t>1.10.1.1.1</t>
        </is>
      </c>
      <c r="C657" t="inlineStr"/>
      <c r="D657" t="inlineStr">
        <is>
          <t>WMA_commercial register excerpt_20260219</t>
        </is>
      </c>
      <c r="E657" t="inlineStr">
        <is>
          <t>DOCUMENT</t>
        </is>
      </c>
    </row>
    <row r="658">
      <c r="A658" s="149" t="inlineStr">
        <is>
          <t>Project Notos</t>
        </is>
      </c>
      <c r="B658" s="149" t="inlineStr">
        <is>
          <t>1.10.1.2</t>
        </is>
      </c>
      <c r="C658" s="149" t="inlineStr">
        <is>
          <t>Articles of association</t>
        </is>
      </c>
      <c r="D658" s="149" t="inlineStr"/>
      <c r="E658" s="149" t="inlineStr">
        <is>
          <t>FOLDER</t>
        </is>
      </c>
    </row>
    <row r="659">
      <c r="A659" t="inlineStr">
        <is>
          <t>Project Notos</t>
        </is>
      </c>
      <c r="B659" t="inlineStr">
        <is>
          <t>1.10.1.2.1</t>
        </is>
      </c>
      <c r="C659" t="inlineStr"/>
      <c r="D659" t="inlineStr">
        <is>
          <t>WMA_articles of association_20170828</t>
        </is>
      </c>
      <c r="E659" t="inlineStr">
        <is>
          <t>DOCUMENT</t>
        </is>
      </c>
    </row>
    <row r="660">
      <c r="A660" s="149" t="inlineStr">
        <is>
          <t>Project Notos</t>
        </is>
      </c>
      <c r="B660" s="149" t="inlineStr">
        <is>
          <t>1.10.1.3</t>
        </is>
      </c>
      <c r="C660" s="149" t="inlineStr">
        <is>
          <t>Shareholder resolutions</t>
        </is>
      </c>
      <c r="D660" s="149" t="inlineStr"/>
      <c r="E660" s="149" t="inlineStr">
        <is>
          <t>FOLDER</t>
        </is>
      </c>
    </row>
    <row r="661">
      <c r="A661" t="inlineStr">
        <is>
          <t>Project Notos</t>
        </is>
      </c>
      <c r="B661" t="inlineStr">
        <is>
          <t>1.10.1.3.1</t>
        </is>
      </c>
      <c r="C661" t="inlineStr"/>
      <c r="D661" t="inlineStr">
        <is>
          <t>WMA_Shareholders Resolution (Appointment of Dieter Körbisser)_20140702</t>
        </is>
      </c>
      <c r="E661" t="inlineStr">
        <is>
          <t>DOCUMENT</t>
        </is>
      </c>
    </row>
    <row r="662">
      <c r="A662" t="inlineStr">
        <is>
          <t>Project Notos</t>
        </is>
      </c>
      <c r="B662" t="inlineStr">
        <is>
          <t>1.10.1.3.2</t>
        </is>
      </c>
      <c r="C662" t="inlineStr"/>
      <c r="D662" t="inlineStr">
        <is>
          <t>WMA_Shareholders Meeting Minutes_20170828</t>
        </is>
      </c>
      <c r="E662" t="inlineStr">
        <is>
          <t>DOCUMENT</t>
        </is>
      </c>
    </row>
    <row r="663">
      <c r="A663" s="149" t="inlineStr">
        <is>
          <t>Project Notos</t>
        </is>
      </c>
      <c r="B663" s="149" t="inlineStr">
        <is>
          <t>1.10.1.4</t>
        </is>
      </c>
      <c r="C663" s="149" t="inlineStr">
        <is>
          <t>Company agreements</t>
        </is>
      </c>
      <c r="D663" s="149" t="inlineStr"/>
      <c r="E663" s="149" t="inlineStr">
        <is>
          <t>FOLDER</t>
        </is>
      </c>
    </row>
    <row r="664">
      <c r="A664" t="inlineStr">
        <is>
          <t>Project Notos</t>
        </is>
      </c>
      <c r="B664" t="inlineStr">
        <is>
          <t>1.10.1.4.1</t>
        </is>
      </c>
      <c r="C664" t="inlineStr"/>
      <c r="D664" t="inlineStr">
        <is>
          <t>WMA_invoice RF_231019</t>
        </is>
      </c>
      <c r="E664" t="inlineStr">
        <is>
          <t>DOCUMENT</t>
        </is>
      </c>
    </row>
    <row r="665">
      <c r="A665" t="inlineStr">
        <is>
          <t>Project Notos</t>
        </is>
      </c>
      <c r="B665" t="inlineStr">
        <is>
          <t>1.10.1.4.2</t>
        </is>
      </c>
      <c r="C665" t="inlineStr"/>
      <c r="D665" t="inlineStr">
        <is>
          <t>WMA_shareholder agreement_170828</t>
        </is>
      </c>
      <c r="E665" t="inlineStr">
        <is>
          <t>DOCUMENT</t>
        </is>
      </c>
    </row>
    <row r="666">
      <c r="A666" t="inlineStr">
        <is>
          <t>Project Notos</t>
        </is>
      </c>
      <c r="B666" t="inlineStr">
        <is>
          <t>1.10.1.4.3</t>
        </is>
      </c>
      <c r="C666" t="inlineStr"/>
      <c r="D666" t="inlineStr">
        <is>
          <t>WMA_supply agreement RF_210928</t>
        </is>
      </c>
      <c r="E666" t="inlineStr">
        <is>
          <t>DOCUMENT</t>
        </is>
      </c>
    </row>
    <row r="667">
      <c r="A667" s="149" t="inlineStr">
        <is>
          <t>Project Notos</t>
        </is>
      </c>
      <c r="B667" s="149" t="inlineStr">
        <is>
          <t>1.10.1.5</t>
        </is>
      </c>
      <c r="C667" s="149" t="inlineStr">
        <is>
          <t>Miscellaneous</t>
        </is>
      </c>
      <c r="D667" s="149" t="inlineStr"/>
      <c r="E667" s="149" t="inlineStr">
        <is>
          <t>FOLDER</t>
        </is>
      </c>
    </row>
    <row r="668">
      <c r="A668" t="inlineStr">
        <is>
          <t>Project Notos</t>
        </is>
      </c>
      <c r="B668" t="inlineStr">
        <is>
          <t>1.10.1.5.1</t>
        </is>
      </c>
      <c r="C668" t="inlineStr"/>
      <c r="D668" t="inlineStr">
        <is>
          <t>WMA_Austrian Trade Register Extract_20260309</t>
        </is>
      </c>
      <c r="E668" t="inlineStr">
        <is>
          <t>DOCUMENT</t>
        </is>
      </c>
    </row>
    <row r="669">
      <c r="A669" s="149" t="inlineStr">
        <is>
          <t>Project Notos</t>
        </is>
      </c>
      <c r="B669" s="149" t="inlineStr">
        <is>
          <t>1.11</t>
        </is>
      </c>
      <c r="C669" s="149" t="inlineStr">
        <is>
          <t>SPA</t>
        </is>
      </c>
      <c r="D669" s="149" t="inlineStr"/>
      <c r="E669" s="149" t="inlineStr">
        <is>
          <t>FOLDER</t>
        </is>
      </c>
    </row>
    <row r="670">
      <c r="A670" s="3" t="inlineStr">
        <is>
          <t>Project Notos</t>
        </is>
      </c>
      <c r="B670" s="3" t="inlineStr">
        <is>
          <t>1.11.1</t>
        </is>
      </c>
      <c r="C670" s="3" t="inlineStr"/>
      <c r="D670" s="3" t="inlineStr">
        <is>
          <t>To be provided</t>
        </is>
      </c>
      <c r="E670" s="3" t="inlineStr">
        <is>
          <t>PLACEHOLDER</t>
        </is>
      </c>
    </row>
    <row r="671">
      <c r="A671" s="149" t="inlineStr">
        <is>
          <t>Project Notos</t>
        </is>
      </c>
      <c r="B671" s="149" t="inlineStr">
        <is>
          <t>2</t>
        </is>
      </c>
      <c r="C671" s="149" t="inlineStr">
        <is>
          <t>Financial</t>
        </is>
      </c>
      <c r="D671" s="149" t="inlineStr"/>
      <c r="E671" s="149" t="inlineStr">
        <is>
          <t>FOLDER</t>
        </is>
      </c>
    </row>
    <row r="672">
      <c r="A672" s="149" t="inlineStr">
        <is>
          <t>Project Notos</t>
        </is>
      </c>
      <c r="B672" s="149" t="inlineStr">
        <is>
          <t>2.1</t>
        </is>
      </c>
      <c r="C672" s="149" t="inlineStr">
        <is>
          <t>Financial Fact Book / Data Book</t>
        </is>
      </c>
      <c r="D672" s="149" t="inlineStr"/>
      <c r="E672" s="149" t="inlineStr">
        <is>
          <t>FOLDER</t>
        </is>
      </c>
    </row>
    <row r="673">
      <c r="A673" t="inlineStr">
        <is>
          <t>Project Notos</t>
        </is>
      </c>
      <c r="B673" t="inlineStr">
        <is>
          <t>2.1.1</t>
        </is>
      </c>
      <c r="C673" t="inlineStr"/>
      <c r="D673" t="inlineStr">
        <is>
          <t>Project Notos - Final Draft Financial Factbook_15042026</t>
        </is>
      </c>
      <c r="E673" t="inlineStr">
        <is>
          <t>DOCUMENT</t>
        </is>
      </c>
    </row>
    <row r="674">
      <c r="A674" t="inlineStr">
        <is>
          <t>Project Notos</t>
        </is>
      </c>
      <c r="B674" t="inlineStr">
        <is>
          <t>2.1.2</t>
        </is>
      </c>
      <c r="C674" t="inlineStr"/>
      <c r="D674" t="inlineStr">
        <is>
          <t>Project Notos - Databook to Final Draft FFB 15042026</t>
        </is>
      </c>
      <c r="E674" t="inlineStr">
        <is>
          <t>DOCUMENT</t>
        </is>
      </c>
    </row>
    <row r="675">
      <c r="A675" t="inlineStr">
        <is>
          <t>Project Notos</t>
        </is>
      </c>
      <c r="B675" t="inlineStr">
        <is>
          <t>2.1.3</t>
        </is>
      </c>
      <c r="C675" t="inlineStr"/>
      <c r="D675" t="inlineStr">
        <is>
          <t>Project Notos - BS IC eliminations 2023-2025</t>
        </is>
      </c>
      <c r="E675" t="inlineStr">
        <is>
          <t>DOCUMENT</t>
        </is>
      </c>
    </row>
    <row r="676">
      <c r="A676" t="inlineStr">
        <is>
          <t>Project Notos</t>
        </is>
      </c>
      <c r="B676" t="inlineStr">
        <is>
          <t>2.1.4</t>
        </is>
      </c>
      <c r="C676" t="inlineStr"/>
      <c r="D676" t="inlineStr">
        <is>
          <t>Project Notos - IS IC eliminations 2023-2025</t>
        </is>
      </c>
      <c r="E676" t="inlineStr">
        <is>
          <t>DOCUMENT</t>
        </is>
      </c>
    </row>
    <row r="677">
      <c r="A677" s="149" t="inlineStr">
        <is>
          <t>Project Notos</t>
        </is>
      </c>
      <c r="B677" s="149" t="inlineStr">
        <is>
          <t>2.2</t>
        </is>
      </c>
      <c r="C677" s="149" t="inlineStr">
        <is>
          <t>Innerio Thermal Technology (ITT )</t>
        </is>
      </c>
      <c r="D677" s="149" t="inlineStr"/>
      <c r="E677" s="149" t="inlineStr">
        <is>
          <t>FOLDER</t>
        </is>
      </c>
    </row>
    <row r="678">
      <c r="A678" s="149" t="inlineStr">
        <is>
          <t>Project Notos</t>
        </is>
      </c>
      <c r="B678" s="149" t="inlineStr">
        <is>
          <t>2.2.1</t>
        </is>
      </c>
      <c r="C678" s="149" t="inlineStr">
        <is>
          <t>Annual Accounts</t>
        </is>
      </c>
      <c r="D678" s="149" t="inlineStr"/>
      <c r="E678" s="149" t="inlineStr">
        <is>
          <t>FOLDER</t>
        </is>
      </c>
    </row>
    <row r="679">
      <c r="A679" t="inlineStr">
        <is>
          <t>Project Notos</t>
        </is>
      </c>
      <c r="B679" t="inlineStr">
        <is>
          <t>2.2.1.1</t>
        </is>
      </c>
      <c r="C679" t="inlineStr"/>
      <c r="D679" t="inlineStr">
        <is>
          <t>ITT_Annual Accounts 2022_20250407</t>
        </is>
      </c>
      <c r="E679" t="inlineStr">
        <is>
          <t>DOCUMENT</t>
        </is>
      </c>
    </row>
    <row r="680">
      <c r="A680" t="inlineStr">
        <is>
          <t>Project Notos</t>
        </is>
      </c>
      <c r="B680" t="inlineStr">
        <is>
          <t>2.2.1.2</t>
        </is>
      </c>
      <c r="C680" t="inlineStr"/>
      <c r="D680" t="inlineStr">
        <is>
          <t>ITT_Annual Accounts 2022_Auditor_BoD Report</t>
        </is>
      </c>
      <c r="E680" t="inlineStr">
        <is>
          <t>DOCUMENT</t>
        </is>
      </c>
    </row>
    <row r="681">
      <c r="A681" t="inlineStr">
        <is>
          <t>Project Notos</t>
        </is>
      </c>
      <c r="B681" t="inlineStr">
        <is>
          <t>2.2.1.3</t>
        </is>
      </c>
      <c r="C681" t="inlineStr"/>
      <c r="D681" t="inlineStr">
        <is>
          <t>ITT_Annual Accounts 2023_20250818</t>
        </is>
      </c>
      <c r="E681" t="inlineStr">
        <is>
          <t>DOCUMENT</t>
        </is>
      </c>
    </row>
    <row r="682">
      <c r="A682" t="inlineStr">
        <is>
          <t>Project Notos</t>
        </is>
      </c>
      <c r="B682" t="inlineStr">
        <is>
          <t>2.2.1.4</t>
        </is>
      </c>
      <c r="C682" t="inlineStr"/>
      <c r="D682" t="inlineStr">
        <is>
          <t>ITT_Annual Accounts 2023_SH &amp; Board Resolutions_20250613</t>
        </is>
      </c>
      <c r="E682" t="inlineStr">
        <is>
          <t>DOCUMENT</t>
        </is>
      </c>
    </row>
    <row r="683">
      <c r="A683" t="inlineStr">
        <is>
          <t>Project Notos</t>
        </is>
      </c>
      <c r="B683" t="inlineStr">
        <is>
          <t>2.2.1.5</t>
        </is>
      </c>
      <c r="C683" t="inlineStr"/>
      <c r="D683" t="inlineStr">
        <is>
          <t>ITT_Annual Accounts 2023_Auditor_BoD Report</t>
        </is>
      </c>
      <c r="E683" t="inlineStr">
        <is>
          <t>DOCUMENT</t>
        </is>
      </c>
    </row>
    <row r="684">
      <c r="A684" t="inlineStr">
        <is>
          <t>Project Notos</t>
        </is>
      </c>
      <c r="B684" t="inlineStr">
        <is>
          <t>2.2.1.6</t>
        </is>
      </c>
      <c r="C684" t="inlineStr"/>
      <c r="D684" t="inlineStr">
        <is>
          <t>ITT_Annual Accounts 2024_20251031_Auditor Report</t>
        </is>
      </c>
      <c r="E684" t="inlineStr">
        <is>
          <t>DOCUMENT</t>
        </is>
      </c>
    </row>
    <row r="685">
      <c r="A685" t="inlineStr">
        <is>
          <t>Project Notos</t>
        </is>
      </c>
      <c r="B685" t="inlineStr">
        <is>
          <t>2.2.1.7</t>
        </is>
      </c>
      <c r="C685" t="inlineStr"/>
      <c r="D685" t="inlineStr">
        <is>
          <t>ITT_Annual Accounts 2024_Auditor_BoD Report</t>
        </is>
      </c>
      <c r="E685" t="inlineStr">
        <is>
          <t>DOCUMENT</t>
        </is>
      </c>
    </row>
    <row r="686">
      <c r="A686" s="149" t="inlineStr">
        <is>
          <t>Project Notos</t>
        </is>
      </c>
      <c r="B686" s="149" t="inlineStr">
        <is>
          <t>2.2.2</t>
        </is>
      </c>
      <c r="C686" s="149" t="inlineStr">
        <is>
          <t>Zabrze plant</t>
        </is>
      </c>
      <c r="D686" s="149" t="inlineStr"/>
      <c r="E686" s="149" t="inlineStr">
        <is>
          <t>FOLDER</t>
        </is>
      </c>
    </row>
    <row r="687">
      <c r="A687" s="149" t="inlineStr">
        <is>
          <t>Project Notos</t>
        </is>
      </c>
      <c r="B687" s="149" t="inlineStr">
        <is>
          <t>2.2.2.1</t>
        </is>
      </c>
      <c r="C687" s="149" t="inlineStr">
        <is>
          <t>Annual Accounts</t>
        </is>
      </c>
      <c r="D687" s="149" t="inlineStr"/>
      <c r="E687" s="149" t="inlineStr">
        <is>
          <t>FOLDER</t>
        </is>
      </c>
    </row>
    <row r="688">
      <c r="A688" s="149" t="inlineStr">
        <is>
          <t>Project Notos</t>
        </is>
      </c>
      <c r="B688" s="149" t="inlineStr">
        <is>
          <t>2.2.2.1.1</t>
        </is>
      </c>
      <c r="C688" s="149" t="inlineStr">
        <is>
          <t>2022</t>
        </is>
      </c>
      <c r="D688" s="149" t="inlineStr"/>
      <c r="E688" s="149" t="inlineStr">
        <is>
          <t>FOLDER</t>
        </is>
      </c>
    </row>
    <row r="689">
      <c r="A689" t="inlineStr">
        <is>
          <t>Project Notos</t>
        </is>
      </c>
      <c r="B689" t="inlineStr">
        <is>
          <t>2.2.2.1.1.1</t>
        </is>
      </c>
      <c r="C689" t="inlineStr"/>
      <c r="D689" t="inlineStr">
        <is>
          <t>Poland Branch_Additonal info as of 31.12.2022</t>
        </is>
      </c>
      <c r="E689" t="inlineStr">
        <is>
          <t>DOCUMENT</t>
        </is>
      </c>
    </row>
    <row r="690">
      <c r="A690" t="inlineStr">
        <is>
          <t>Project Notos</t>
        </is>
      </c>
      <c r="B690" t="inlineStr">
        <is>
          <t>2.2.2.1.1.2</t>
        </is>
      </c>
      <c r="C690" t="inlineStr"/>
      <c r="D690" t="inlineStr">
        <is>
          <t>Poland Branch_Annual Accounts 2022</t>
        </is>
      </c>
      <c r="E690" t="inlineStr">
        <is>
          <t>DOCUMENT</t>
        </is>
      </c>
    </row>
    <row r="691">
      <c r="A691" s="149" t="inlineStr">
        <is>
          <t>Project Notos</t>
        </is>
      </c>
      <c r="B691" s="149" t="inlineStr">
        <is>
          <t>2.2.2.1.2</t>
        </is>
      </c>
      <c r="C691" s="149" t="inlineStr">
        <is>
          <t>2023</t>
        </is>
      </c>
      <c r="D691" s="149" t="inlineStr"/>
      <c r="E691" s="149" t="inlineStr">
        <is>
          <t>FOLDER</t>
        </is>
      </c>
    </row>
    <row r="692">
      <c r="A692" t="inlineStr">
        <is>
          <t>Project Notos</t>
        </is>
      </c>
      <c r="B692" t="inlineStr">
        <is>
          <t>2.2.2.1.2.1</t>
        </is>
      </c>
      <c r="C692" t="inlineStr"/>
      <c r="D692" t="inlineStr">
        <is>
          <t>Poland Branch_Additonal info as of 31.12.2023</t>
        </is>
      </c>
      <c r="E692" t="inlineStr">
        <is>
          <t>DOCUMENT</t>
        </is>
      </c>
    </row>
    <row r="693">
      <c r="A693" t="inlineStr">
        <is>
          <t>Project Notos</t>
        </is>
      </c>
      <c r="B693" t="inlineStr">
        <is>
          <t>2.2.2.1.2.2</t>
        </is>
      </c>
      <c r="C693" t="inlineStr"/>
      <c r="D693" t="inlineStr">
        <is>
          <t>Poland Branch_Annual Accounts 2023</t>
        </is>
      </c>
      <c r="E693" t="inlineStr">
        <is>
          <t>DOCUMENT</t>
        </is>
      </c>
    </row>
    <row r="694">
      <c r="A694" t="inlineStr">
        <is>
          <t>Project Notos</t>
        </is>
      </c>
      <c r="B694" t="inlineStr">
        <is>
          <t>2.2.2.1.2.3</t>
        </is>
      </c>
      <c r="C694" t="inlineStr"/>
      <c r="D694" t="inlineStr">
        <is>
          <t>Poland Branch_Management confirmation 2023</t>
        </is>
      </c>
      <c r="E694" t="inlineStr">
        <is>
          <t>DOCUMENT</t>
        </is>
      </c>
    </row>
    <row r="695">
      <c r="A695" s="149" t="inlineStr">
        <is>
          <t>Project Notos</t>
        </is>
      </c>
      <c r="B695" s="149" t="inlineStr">
        <is>
          <t>2.2.2.1.3</t>
        </is>
      </c>
      <c r="C695" s="149" t="inlineStr">
        <is>
          <t>2024</t>
        </is>
      </c>
      <c r="D695" s="149" t="inlineStr"/>
      <c r="E695" s="149" t="inlineStr">
        <is>
          <t>FOLDER</t>
        </is>
      </c>
    </row>
    <row r="696">
      <c r="A696" t="inlineStr">
        <is>
          <t>Project Notos</t>
        </is>
      </c>
      <c r="B696" t="inlineStr">
        <is>
          <t>2.2.2.1.3.1</t>
        </is>
      </c>
      <c r="C696" t="inlineStr"/>
      <c r="D696" t="inlineStr">
        <is>
          <t>Poland Branch_Additonal info as of 31.12.2024</t>
        </is>
      </c>
      <c r="E696" t="inlineStr">
        <is>
          <t>DOCUMENT</t>
        </is>
      </c>
    </row>
    <row r="697">
      <c r="A697" s="149" t="inlineStr">
        <is>
          <t>Project Notos</t>
        </is>
      </c>
      <c r="B697" s="149" t="inlineStr">
        <is>
          <t>2.2.3</t>
        </is>
      </c>
      <c r="C697" s="149" t="inlineStr">
        <is>
          <t>CAPEX</t>
        </is>
      </c>
      <c r="D697" s="149" t="inlineStr"/>
      <c r="E697" s="149" t="inlineStr">
        <is>
          <t>FOLDER</t>
        </is>
      </c>
    </row>
    <row r="698">
      <c r="A698" t="inlineStr">
        <is>
          <t>Project Notos</t>
        </is>
      </c>
      <c r="B698" t="inlineStr">
        <is>
          <t>2.2.3.1</t>
        </is>
      </c>
      <c r="C698" t="inlineStr"/>
      <c r="D698" t="inlineStr">
        <is>
          <t>ITT_CAPEX 2023-2025</t>
        </is>
      </c>
      <c r="E698" t="inlineStr">
        <is>
          <t>DOCUMENT</t>
        </is>
      </c>
    </row>
    <row r="699">
      <c r="A699" s="149" t="inlineStr">
        <is>
          <t>Project Notos</t>
        </is>
      </c>
      <c r="B699" s="149" t="inlineStr">
        <is>
          <t>2.2.4</t>
        </is>
      </c>
      <c r="C699" s="149" t="inlineStr">
        <is>
          <t>Payables / Receivables Aging</t>
        </is>
      </c>
      <c r="D699" s="149" t="inlineStr"/>
      <c r="E699" s="149" t="inlineStr">
        <is>
          <t>FOLDER</t>
        </is>
      </c>
    </row>
    <row r="700">
      <c r="A700" t="inlineStr">
        <is>
          <t>Project Notos</t>
        </is>
      </c>
      <c r="B700" t="inlineStr">
        <is>
          <t>2.2.4.1</t>
        </is>
      </c>
      <c r="C700" t="inlineStr"/>
      <c r="D700" t="inlineStr">
        <is>
          <t>ITT_aging AP 30.04.2026</t>
        </is>
      </c>
      <c r="E700" t="inlineStr">
        <is>
          <t>DOCUMENT</t>
        </is>
      </c>
    </row>
    <row r="701">
      <c r="A701" t="inlineStr">
        <is>
          <t>Project Notos</t>
        </is>
      </c>
      <c r="B701" t="inlineStr">
        <is>
          <t>2.2.4.2</t>
        </is>
      </c>
      <c r="C701" t="inlineStr"/>
      <c r="D701" t="inlineStr">
        <is>
          <t>ITT_aging AR 30.04.2026</t>
        </is>
      </c>
      <c r="E701" t="inlineStr">
        <is>
          <t>DOCUMENT</t>
        </is>
      </c>
    </row>
    <row r="702">
      <c r="A702" s="149" t="inlineStr">
        <is>
          <t>Project Notos</t>
        </is>
      </c>
      <c r="B702" s="149" t="inlineStr">
        <is>
          <t>2.3</t>
        </is>
      </c>
      <c r="C702" s="149" t="inlineStr">
        <is>
          <t>Innerio Heat Exchanger (IHE)</t>
        </is>
      </c>
      <c r="D702" s="149" t="inlineStr"/>
      <c r="E702" s="149" t="inlineStr">
        <is>
          <t>FOLDER</t>
        </is>
      </c>
    </row>
    <row r="703">
      <c r="A703" s="149" t="inlineStr">
        <is>
          <t>Project Notos</t>
        </is>
      </c>
      <c r="B703" s="149" t="inlineStr">
        <is>
          <t>2.3.1</t>
        </is>
      </c>
      <c r="C703" s="149" t="inlineStr">
        <is>
          <t>Annual Accounts</t>
        </is>
      </c>
      <c r="D703" s="149" t="inlineStr"/>
      <c r="E703" s="149" t="inlineStr">
        <is>
          <t>FOLDER</t>
        </is>
      </c>
    </row>
    <row r="704">
      <c r="A704" t="inlineStr">
        <is>
          <t>Project Notos</t>
        </is>
      </c>
      <c r="B704" t="inlineStr">
        <is>
          <t>2.3.1.1</t>
        </is>
      </c>
      <c r="C704" t="inlineStr"/>
      <c r="D704" t="inlineStr">
        <is>
          <t>IHE Annual Accounts 31.12.2024</t>
        </is>
      </c>
      <c r="E704" t="inlineStr">
        <is>
          <t>DOCUMENT</t>
        </is>
      </c>
    </row>
    <row r="705">
      <c r="A705" t="inlineStr">
        <is>
          <t>Project Notos</t>
        </is>
      </c>
      <c r="B705" t="inlineStr">
        <is>
          <t>2.3.1.2</t>
        </is>
      </c>
      <c r="C705" t="inlineStr"/>
      <c r="D705" t="inlineStr">
        <is>
          <t>IHE Annual Accounts 31.12.2023</t>
        </is>
      </c>
      <c r="E705" t="inlineStr">
        <is>
          <t>DOCUMENT</t>
        </is>
      </c>
    </row>
    <row r="706">
      <c r="A706" t="inlineStr">
        <is>
          <t>Project Notos</t>
        </is>
      </c>
      <c r="B706" t="inlineStr">
        <is>
          <t>2.3.1.3</t>
        </is>
      </c>
      <c r="C706" t="inlineStr"/>
      <c r="D706" t="inlineStr">
        <is>
          <t>IHE Annual Accounts 31.12.2022</t>
        </is>
      </c>
      <c r="E706" t="inlineStr">
        <is>
          <t>DOCUMENT</t>
        </is>
      </c>
    </row>
    <row r="707">
      <c r="A707" t="inlineStr">
        <is>
          <t>Project Notos</t>
        </is>
      </c>
      <c r="B707" t="inlineStr">
        <is>
          <t>2.3.1.4</t>
        </is>
      </c>
      <c r="C707" t="inlineStr"/>
      <c r="D707" t="inlineStr">
        <is>
          <t>IHE Annual Accounts 31.12.2025 &amp; Attachments</t>
        </is>
      </c>
      <c r="E707" t="inlineStr">
        <is>
          <t>DOCUMENT</t>
        </is>
      </c>
    </row>
    <row r="708">
      <c r="A708" t="inlineStr">
        <is>
          <t>Project Notos</t>
        </is>
      </c>
      <c r="B708" t="inlineStr">
        <is>
          <t>2.3.1.5</t>
        </is>
      </c>
      <c r="C708" t="inlineStr"/>
      <c r="D708" t="inlineStr">
        <is>
          <t>IHE Events after the reporting date 2025</t>
        </is>
      </c>
      <c r="E708" t="inlineStr">
        <is>
          <t>DOCUMENT</t>
        </is>
      </c>
    </row>
    <row r="709">
      <c r="A709" t="inlineStr">
        <is>
          <t>Project Notos</t>
        </is>
      </c>
      <c r="B709" t="inlineStr">
        <is>
          <t>2.3.1.6</t>
        </is>
      </c>
      <c r="C709" t="inlineStr"/>
      <c r="D709" t="inlineStr">
        <is>
          <t>IHE Contingent liabilities 2025</t>
        </is>
      </c>
      <c r="E709" t="inlineStr">
        <is>
          <t>DOCUMENT</t>
        </is>
      </c>
    </row>
    <row r="710">
      <c r="A710" t="inlineStr">
        <is>
          <t>Project Notos</t>
        </is>
      </c>
      <c r="B710" t="inlineStr">
        <is>
          <t>2.3.1.7</t>
        </is>
      </c>
      <c r="C710" t="inlineStr"/>
      <c r="D710" t="inlineStr">
        <is>
          <t>IHE Lagebericht 2025</t>
        </is>
      </c>
      <c r="E710" t="inlineStr">
        <is>
          <t>DOCUMENT</t>
        </is>
      </c>
    </row>
    <row r="711">
      <c r="A711" t="inlineStr">
        <is>
          <t>Project Notos</t>
        </is>
      </c>
      <c r="B711" t="inlineStr">
        <is>
          <t>2.3.1.8</t>
        </is>
      </c>
      <c r="C711" t="inlineStr"/>
      <c r="D711" t="inlineStr">
        <is>
          <t>IHE Management representation letter 2025</t>
        </is>
      </c>
      <c r="E711" t="inlineStr">
        <is>
          <t>DOCUMENT</t>
        </is>
      </c>
    </row>
    <row r="712">
      <c r="A712" t="inlineStr">
        <is>
          <t>Project Notos</t>
        </is>
      </c>
      <c r="B712" t="inlineStr">
        <is>
          <t>2.3.1.9</t>
        </is>
      </c>
      <c r="C712" t="inlineStr"/>
      <c r="D712" t="inlineStr">
        <is>
          <t>IHE_Annual Accounts_31.12.2025_Auditor Report</t>
        </is>
      </c>
      <c r="E712" t="inlineStr">
        <is>
          <t>DOCUMENT</t>
        </is>
      </c>
    </row>
    <row r="713">
      <c r="A713" s="149" t="inlineStr">
        <is>
          <t>Project Notos</t>
        </is>
      </c>
      <c r="B713" s="149" t="inlineStr">
        <is>
          <t>2.3.2</t>
        </is>
      </c>
      <c r="C713" s="149" t="inlineStr">
        <is>
          <t>CAPEX</t>
        </is>
      </c>
      <c r="D713" s="149" t="inlineStr"/>
      <c r="E713" s="149" t="inlineStr">
        <is>
          <t>FOLDER</t>
        </is>
      </c>
    </row>
    <row r="714">
      <c r="A714" t="inlineStr">
        <is>
          <t>Project Notos</t>
        </is>
      </c>
      <c r="B714" t="inlineStr">
        <is>
          <t>2.3.2.1</t>
        </is>
      </c>
      <c r="C714" t="inlineStr"/>
      <c r="D714" t="inlineStr">
        <is>
          <t>ITT_CAPEX 2023-2025 (Duplicate - wrong folder)</t>
        </is>
      </c>
      <c r="E714" t="inlineStr">
        <is>
          <t>DOCUMENT</t>
        </is>
      </c>
    </row>
    <row r="715">
      <c r="A715" t="inlineStr">
        <is>
          <t>Project Notos</t>
        </is>
      </c>
      <c r="B715" t="inlineStr">
        <is>
          <t>2.3.2.2</t>
        </is>
      </c>
      <c r="C715" t="inlineStr"/>
      <c r="D715" t="inlineStr">
        <is>
          <t>IHE_CAPEX 2023-2025</t>
        </is>
      </c>
      <c r="E715" t="inlineStr">
        <is>
          <t>DOCUMENT</t>
        </is>
      </c>
    </row>
    <row r="716">
      <c r="A716" s="149" t="inlineStr">
        <is>
          <t>Project Notos</t>
        </is>
      </c>
      <c r="B716" s="149" t="inlineStr">
        <is>
          <t>2.3.3</t>
        </is>
      </c>
      <c r="C716" s="149" t="inlineStr">
        <is>
          <t>Payables / Receivables Aging</t>
        </is>
      </c>
      <c r="D716" s="149" t="inlineStr"/>
      <c r="E716" s="149" t="inlineStr">
        <is>
          <t>FOLDER</t>
        </is>
      </c>
    </row>
    <row r="717">
      <c r="A717" t="inlineStr">
        <is>
          <t>Project Notos</t>
        </is>
      </c>
      <c r="B717" t="inlineStr">
        <is>
          <t>2.3.3.1</t>
        </is>
      </c>
      <c r="C717" t="inlineStr"/>
      <c r="D717" t="inlineStr">
        <is>
          <t>IHE_aging AP_30.04.2026</t>
        </is>
      </c>
      <c r="E717" t="inlineStr">
        <is>
          <t>DOCUMENT</t>
        </is>
      </c>
    </row>
    <row r="718">
      <c r="A718" s="149" t="inlineStr">
        <is>
          <t>Project Notos</t>
        </is>
      </c>
      <c r="B718" s="149" t="inlineStr">
        <is>
          <t>2.4</t>
        </is>
      </c>
      <c r="C718" s="149" t="inlineStr">
        <is>
          <t>Rupert Fertinger (RF)</t>
        </is>
      </c>
      <c r="D718" s="149" t="inlineStr"/>
      <c r="E718" s="149" t="inlineStr">
        <is>
          <t>FOLDER</t>
        </is>
      </c>
    </row>
    <row r="719">
      <c r="A719" s="149" t="inlineStr">
        <is>
          <t>Project Notos</t>
        </is>
      </c>
      <c r="B719" s="149" t="inlineStr">
        <is>
          <t>2.4.1</t>
        </is>
      </c>
      <c r="C719" s="149" t="inlineStr">
        <is>
          <t>Annual Accounts</t>
        </is>
      </c>
      <c r="D719" s="149" t="inlineStr"/>
      <c r="E719" s="149" t="inlineStr">
        <is>
          <t>FOLDER</t>
        </is>
      </c>
    </row>
    <row r="720">
      <c r="A720" t="inlineStr">
        <is>
          <t>Project Notos</t>
        </is>
      </c>
      <c r="B720" t="inlineStr">
        <is>
          <t>2.4.1.1</t>
        </is>
      </c>
      <c r="C720" t="inlineStr"/>
      <c r="D720" t="inlineStr">
        <is>
          <t>RF Annual Accounts_31.12.2022_Detailed</t>
        </is>
      </c>
      <c r="E720" t="inlineStr">
        <is>
          <t>DOCUMENT</t>
        </is>
      </c>
    </row>
    <row r="721">
      <c r="A721" t="inlineStr">
        <is>
          <t>Project Notos</t>
        </is>
      </c>
      <c r="B721" t="inlineStr">
        <is>
          <t>2.4.1.2</t>
        </is>
      </c>
      <c r="C721" t="inlineStr"/>
      <c r="D721" t="inlineStr">
        <is>
          <t>RF Annual Accounts_31.12.2023_Auditor Report</t>
        </is>
      </c>
      <c r="E721" t="inlineStr">
        <is>
          <t>DOCUMENT</t>
        </is>
      </c>
    </row>
    <row r="722">
      <c r="A722" t="inlineStr">
        <is>
          <t>Project Notos</t>
        </is>
      </c>
      <c r="B722" t="inlineStr">
        <is>
          <t>2.4.1.3</t>
        </is>
      </c>
      <c r="C722" t="inlineStr"/>
      <c r="D722" t="inlineStr">
        <is>
          <t>RF Annual Accounts_31.12.2023_Detailed</t>
        </is>
      </c>
      <c r="E722" t="inlineStr">
        <is>
          <t>DOCUMENT</t>
        </is>
      </c>
    </row>
    <row r="723">
      <c r="A723" t="inlineStr">
        <is>
          <t>Project Notos</t>
        </is>
      </c>
      <c r="B723" t="inlineStr">
        <is>
          <t>2.4.1.4</t>
        </is>
      </c>
      <c r="C723" t="inlineStr"/>
      <c r="D723" t="inlineStr">
        <is>
          <t>RF Annual Accounts_31.12.2024_Auditor Report</t>
        </is>
      </c>
      <c r="E723" t="inlineStr">
        <is>
          <t>DOCUMENT</t>
        </is>
      </c>
    </row>
    <row r="724">
      <c r="A724" t="inlineStr">
        <is>
          <t>Project Notos</t>
        </is>
      </c>
      <c r="B724" t="inlineStr">
        <is>
          <t>2.4.1.5</t>
        </is>
      </c>
      <c r="C724" t="inlineStr"/>
      <c r="D724" t="inlineStr">
        <is>
          <t>RF Annual Accounts_31.12.2024_Detailed</t>
        </is>
      </c>
      <c r="E724" t="inlineStr">
        <is>
          <t>DOCUMENT</t>
        </is>
      </c>
    </row>
    <row r="725">
      <c r="A725" t="inlineStr">
        <is>
          <t>Project Notos</t>
        </is>
      </c>
      <c r="B725" t="inlineStr">
        <is>
          <t>2.4.1.6</t>
        </is>
      </c>
      <c r="C725" t="inlineStr"/>
      <c r="D725" t="inlineStr">
        <is>
          <t>RF_Annual Accounts_31.12.2025_Auditor Report</t>
        </is>
      </c>
      <c r="E725" t="inlineStr">
        <is>
          <t>DOCUMENT</t>
        </is>
      </c>
    </row>
    <row r="726">
      <c r="A726" s="149" t="inlineStr">
        <is>
          <t>Project Notos</t>
        </is>
      </c>
      <c r="B726" s="149" t="inlineStr">
        <is>
          <t>2.4.2</t>
        </is>
      </c>
      <c r="C726" s="149" t="inlineStr">
        <is>
          <t>CAPEX</t>
        </is>
      </c>
      <c r="D726" s="149" t="inlineStr"/>
      <c r="E726" s="149" t="inlineStr">
        <is>
          <t>FOLDER</t>
        </is>
      </c>
    </row>
    <row r="727">
      <c r="A727" t="inlineStr">
        <is>
          <t>Project Notos</t>
        </is>
      </c>
      <c r="B727" t="inlineStr">
        <is>
          <t>2.4.2.1</t>
        </is>
      </c>
      <c r="C727" t="inlineStr"/>
      <c r="D727" t="inlineStr">
        <is>
          <t>RF_CAPEX 2023-2025 inkl 2026 BUD</t>
        </is>
      </c>
      <c r="E727" t="inlineStr">
        <is>
          <t>DOCUMENT</t>
        </is>
      </c>
    </row>
    <row r="728">
      <c r="A728" s="149" t="inlineStr">
        <is>
          <t>Project Notos</t>
        </is>
      </c>
      <c r="B728" s="149" t="inlineStr">
        <is>
          <t>2.4.3</t>
        </is>
      </c>
      <c r="C728" s="149" t="inlineStr">
        <is>
          <t>Payables / Receivables Aging</t>
        </is>
      </c>
      <c r="D728" s="149" t="inlineStr"/>
      <c r="E728" s="149" t="inlineStr">
        <is>
          <t>FOLDER</t>
        </is>
      </c>
    </row>
    <row r="729">
      <c r="A729" t="inlineStr">
        <is>
          <t>Project Notos</t>
        </is>
      </c>
      <c r="B729" t="inlineStr">
        <is>
          <t>2.4.3.1</t>
        </is>
      </c>
      <c r="C729" t="inlineStr"/>
      <c r="D729" t="inlineStr">
        <is>
          <t>RF_aging AP_30.04.2026</t>
        </is>
      </c>
      <c r="E729" t="inlineStr">
        <is>
          <t>DOCUMENT</t>
        </is>
      </c>
    </row>
    <row r="730">
      <c r="A730" s="149" t="inlineStr">
        <is>
          <t>Project Notos</t>
        </is>
      </c>
      <c r="B730" s="149" t="inlineStr">
        <is>
          <t>2.5</t>
        </is>
      </c>
      <c r="C730" s="149" t="inlineStr">
        <is>
          <t>Fertinger Tubes (FT)</t>
        </is>
      </c>
      <c r="D730" s="149" t="inlineStr"/>
      <c r="E730" s="149" t="inlineStr">
        <is>
          <t>FOLDER</t>
        </is>
      </c>
    </row>
    <row r="731">
      <c r="A731" s="149" t="inlineStr">
        <is>
          <t>Project Notos</t>
        </is>
      </c>
      <c r="B731" s="149" t="inlineStr">
        <is>
          <t>2.5.1</t>
        </is>
      </c>
      <c r="C731" s="149" t="inlineStr">
        <is>
          <t>Annual Accounts</t>
        </is>
      </c>
      <c r="D731" s="149" t="inlineStr"/>
      <c r="E731" s="149" t="inlineStr">
        <is>
          <t>FOLDER</t>
        </is>
      </c>
    </row>
    <row r="732">
      <c r="A732" t="inlineStr">
        <is>
          <t>Project Notos</t>
        </is>
      </c>
      <c r="B732" t="inlineStr">
        <is>
          <t>2.5.1.1</t>
        </is>
      </c>
      <c r="C732" t="inlineStr"/>
      <c r="D732" t="inlineStr">
        <is>
          <t>FT Annual Accounts_31.12.2024</t>
        </is>
      </c>
      <c r="E732" t="inlineStr">
        <is>
          <t>DOCUMENT</t>
        </is>
      </c>
    </row>
    <row r="733">
      <c r="A733" t="inlineStr">
        <is>
          <t>Project Notos</t>
        </is>
      </c>
      <c r="B733" t="inlineStr">
        <is>
          <t>2.5.1.2</t>
        </is>
      </c>
      <c r="C733" t="inlineStr"/>
      <c r="D733" t="inlineStr">
        <is>
          <t>FT Annual Accounts_31.12.2023</t>
        </is>
      </c>
      <c r="E733" t="inlineStr">
        <is>
          <t>DOCUMENT</t>
        </is>
      </c>
    </row>
    <row r="734">
      <c r="A734" t="inlineStr">
        <is>
          <t>Project Notos</t>
        </is>
      </c>
      <c r="B734" t="inlineStr">
        <is>
          <t>2.5.1.3</t>
        </is>
      </c>
      <c r="C734" t="inlineStr"/>
      <c r="D734" t="inlineStr">
        <is>
          <t>FT Annual Accounts_31.12.2022</t>
        </is>
      </c>
      <c r="E734" t="inlineStr">
        <is>
          <t>DOCUMENT</t>
        </is>
      </c>
    </row>
    <row r="735">
      <c r="A735" s="149" t="inlineStr">
        <is>
          <t>Project Notos</t>
        </is>
      </c>
      <c r="B735" s="149" t="inlineStr">
        <is>
          <t>2.5.2</t>
        </is>
      </c>
      <c r="C735" s="149" t="inlineStr">
        <is>
          <t>Payables / Receivables Aging</t>
        </is>
      </c>
      <c r="D735" s="149" t="inlineStr"/>
      <c r="E735" s="149" t="inlineStr">
        <is>
          <t>FOLDER</t>
        </is>
      </c>
    </row>
    <row r="736">
      <c r="A736" t="inlineStr">
        <is>
          <t>Project Notos</t>
        </is>
      </c>
      <c r="B736" t="inlineStr">
        <is>
          <t>2.5.2.1</t>
        </is>
      </c>
      <c r="C736" t="inlineStr"/>
      <c r="D736" t="inlineStr">
        <is>
          <t>Receivables 30.04.2026_anonymized</t>
        </is>
      </c>
      <c r="E736" t="inlineStr">
        <is>
          <t>DOCUMENT</t>
        </is>
      </c>
    </row>
    <row r="737">
      <c r="A737" t="inlineStr">
        <is>
          <t>Project Notos</t>
        </is>
      </c>
      <c r="B737" t="inlineStr">
        <is>
          <t>2.5.2.2</t>
        </is>
      </c>
      <c r="C737" t="inlineStr"/>
      <c r="D737" t="inlineStr">
        <is>
          <t>Payables 30.04.2026_anonymized</t>
        </is>
      </c>
      <c r="E737" t="inlineStr">
        <is>
          <t>DOCUMENT</t>
        </is>
      </c>
    </row>
    <row r="738">
      <c r="A738" s="149" t="inlineStr">
        <is>
          <t>Project Notos</t>
        </is>
      </c>
      <c r="B738" s="149" t="inlineStr">
        <is>
          <t>2.5.3</t>
        </is>
      </c>
      <c r="C738" s="149" t="inlineStr">
        <is>
          <t>CAPEX</t>
        </is>
      </c>
      <c r="D738" s="149" t="inlineStr"/>
      <c r="E738" s="149" t="inlineStr">
        <is>
          <t>FOLDER</t>
        </is>
      </c>
    </row>
    <row r="739">
      <c r="A739" t="inlineStr">
        <is>
          <t>Project Notos</t>
        </is>
      </c>
      <c r="B739" t="inlineStr">
        <is>
          <t>2.5.3.1</t>
        </is>
      </c>
      <c r="C739" t="inlineStr"/>
      <c r="D739" t="inlineStr">
        <is>
          <t>FT_CAPEX 2023-2025 inkl 2026 BUD</t>
        </is>
      </c>
      <c r="E739" t="inlineStr">
        <is>
          <t>DOCUMENT</t>
        </is>
      </c>
    </row>
    <row r="740">
      <c r="A740" s="149" t="inlineStr">
        <is>
          <t>Project Notos</t>
        </is>
      </c>
      <c r="B740" s="149" t="inlineStr">
        <is>
          <t>2.6</t>
        </is>
      </c>
      <c r="C740" s="149" t="inlineStr">
        <is>
          <t>Innerio Group GmbH (IG)</t>
        </is>
      </c>
      <c r="D740" s="149" t="inlineStr"/>
      <c r="E740" s="149" t="inlineStr">
        <is>
          <t>FOLDER</t>
        </is>
      </c>
    </row>
    <row r="741">
      <c r="A741" s="149" t="inlineStr">
        <is>
          <t>Project Notos</t>
        </is>
      </c>
      <c r="B741" s="149" t="inlineStr">
        <is>
          <t>2.6.1</t>
        </is>
      </c>
      <c r="C741" s="149" t="inlineStr">
        <is>
          <t>Annual Accounts</t>
        </is>
      </c>
      <c r="D741" s="149" t="inlineStr"/>
      <c r="E741" s="149" t="inlineStr">
        <is>
          <t>FOLDER</t>
        </is>
      </c>
    </row>
    <row r="742">
      <c r="A742" t="inlineStr">
        <is>
          <t>Project Notos</t>
        </is>
      </c>
      <c r="B742" t="inlineStr">
        <is>
          <t>2.6.1.1</t>
        </is>
      </c>
      <c r="C742" t="inlineStr"/>
      <c r="D742" t="inlineStr">
        <is>
          <t>IG_Annual Accounts 2025_single entity</t>
        </is>
      </c>
      <c r="E742" t="inlineStr">
        <is>
          <t>DOCUMENT</t>
        </is>
      </c>
    </row>
    <row r="743">
      <c r="A743" t="inlineStr">
        <is>
          <t>Project Notos</t>
        </is>
      </c>
      <c r="B743" t="inlineStr">
        <is>
          <t>2.6.1.2</t>
        </is>
      </c>
      <c r="C743" t="inlineStr"/>
      <c r="D743" t="inlineStr">
        <is>
          <t>IG_Annual Accounts 2024_single entity</t>
        </is>
      </c>
      <c r="E743" t="inlineStr">
        <is>
          <t>DOCUMENT</t>
        </is>
      </c>
    </row>
    <row r="744">
      <c r="A744" t="inlineStr">
        <is>
          <t>Project Notos</t>
        </is>
      </c>
      <c r="B744" t="inlineStr">
        <is>
          <t>2.6.1.3</t>
        </is>
      </c>
      <c r="C744" t="inlineStr"/>
      <c r="D744" t="inlineStr">
        <is>
          <t>IG_Annual Accounts 2023_single entity</t>
        </is>
      </c>
      <c r="E744" t="inlineStr">
        <is>
          <t>DOCUMENT</t>
        </is>
      </c>
    </row>
    <row r="745">
      <c r="A745" t="inlineStr">
        <is>
          <t>Project Notos</t>
        </is>
      </c>
      <c r="B745" t="inlineStr">
        <is>
          <t>2.6.1.4</t>
        </is>
      </c>
      <c r="C745" t="inlineStr"/>
      <c r="D745" t="inlineStr">
        <is>
          <t>IG_Annual Accounts 2022_single entity</t>
        </is>
      </c>
      <c r="E745" t="inlineStr">
        <is>
          <t>DOCUMENT</t>
        </is>
      </c>
    </row>
    <row r="746">
      <c r="A746" s="149" t="inlineStr">
        <is>
          <t>Project Notos</t>
        </is>
      </c>
      <c r="B746" s="149" t="inlineStr">
        <is>
          <t>2.7</t>
        </is>
      </c>
      <c r="C746" s="149" t="inlineStr">
        <is>
          <t>Innerio Immobilien GmbH</t>
        </is>
      </c>
      <c r="D746" s="149" t="inlineStr"/>
      <c r="E746" s="149" t="inlineStr">
        <is>
          <t>FOLDER</t>
        </is>
      </c>
    </row>
    <row r="747">
      <c r="A747" s="149" t="inlineStr">
        <is>
          <t>Project Notos</t>
        </is>
      </c>
      <c r="B747" s="149" t="inlineStr">
        <is>
          <t>2.7.1</t>
        </is>
      </c>
      <c r="C747" s="149" t="inlineStr">
        <is>
          <t>Annual Accounts</t>
        </is>
      </c>
      <c r="D747" s="149" t="inlineStr"/>
      <c r="E747" s="149" t="inlineStr">
        <is>
          <t>FOLDER</t>
        </is>
      </c>
    </row>
    <row r="748">
      <c r="A748" t="inlineStr">
        <is>
          <t>Project Notos</t>
        </is>
      </c>
      <c r="B748" t="inlineStr">
        <is>
          <t>2.7.1.1</t>
        </is>
      </c>
      <c r="C748" t="inlineStr"/>
      <c r="D748" t="inlineStr">
        <is>
          <t>IG Annual Accounts_31.12.2024</t>
        </is>
      </c>
      <c r="E748" t="inlineStr">
        <is>
          <t>DOCUMENT</t>
        </is>
      </c>
    </row>
    <row r="749">
      <c r="A749" t="inlineStr">
        <is>
          <t>Project Notos</t>
        </is>
      </c>
      <c r="B749" t="inlineStr">
        <is>
          <t>2.7.1.2</t>
        </is>
      </c>
      <c r="C749" t="inlineStr"/>
      <c r="D749" t="inlineStr">
        <is>
          <t>IG Annual Accounts_31.12.2023</t>
        </is>
      </c>
      <c r="E749" t="inlineStr">
        <is>
          <t>DOCUMENT</t>
        </is>
      </c>
    </row>
    <row r="750">
      <c r="A750" t="inlineStr">
        <is>
          <t>Project Notos</t>
        </is>
      </c>
      <c r="B750" t="inlineStr">
        <is>
          <t>2.7.1.3</t>
        </is>
      </c>
      <c r="C750" t="inlineStr"/>
      <c r="D750" t="inlineStr">
        <is>
          <t>IG Annual Accounts_31.12.2022</t>
        </is>
      </c>
      <c r="E750" t="inlineStr">
        <is>
          <t>DOCUMENT</t>
        </is>
      </c>
    </row>
    <row r="751">
      <c r="A751" s="149" t="inlineStr">
        <is>
          <t>Project Notos</t>
        </is>
      </c>
      <c r="B751" s="149" t="inlineStr">
        <is>
          <t>2.8</t>
        </is>
      </c>
      <c r="C751" s="149" t="inlineStr">
        <is>
          <t>Fertinger Automotive Polska Sp. Z o.o. (FAP)</t>
        </is>
      </c>
      <c r="D751" s="149" t="inlineStr"/>
      <c r="E751" s="149" t="inlineStr">
        <is>
          <t>FOLDER</t>
        </is>
      </c>
    </row>
    <row r="752">
      <c r="A752" s="149" t="inlineStr">
        <is>
          <t>Project Notos</t>
        </is>
      </c>
      <c r="B752" s="149" t="inlineStr">
        <is>
          <t>2.8.1</t>
        </is>
      </c>
      <c r="C752" s="149" t="inlineStr">
        <is>
          <t>Annual Accounts</t>
        </is>
      </c>
      <c r="D752" s="149" t="inlineStr"/>
      <c r="E752" s="149" t="inlineStr">
        <is>
          <t>FOLDER</t>
        </is>
      </c>
    </row>
    <row r="753">
      <c r="A753" t="inlineStr">
        <is>
          <t>Project Notos</t>
        </is>
      </c>
      <c r="B753" t="inlineStr">
        <is>
          <t>2.8.1.1</t>
        </is>
      </c>
      <c r="C753" t="inlineStr"/>
      <c r="D753" t="inlineStr">
        <is>
          <t>FAP Annual Accounts_31.12.2023_auditor report (Polish)</t>
        </is>
      </c>
      <c r="E753" t="inlineStr">
        <is>
          <t>DOCUMENT</t>
        </is>
      </c>
    </row>
    <row r="754">
      <c r="A754" t="inlineStr">
        <is>
          <t>Project Notos</t>
        </is>
      </c>
      <c r="B754" t="inlineStr">
        <is>
          <t>2.8.1.2</t>
        </is>
      </c>
      <c r="C754" t="inlineStr"/>
      <c r="D754" t="inlineStr">
        <is>
          <t>FAP Annual Accounts_31.12.2023_management report (English)</t>
        </is>
      </c>
      <c r="E754" t="inlineStr">
        <is>
          <t>DOCUMENT</t>
        </is>
      </c>
    </row>
    <row r="755">
      <c r="A755" t="inlineStr">
        <is>
          <t>Project Notos</t>
        </is>
      </c>
      <c r="B755" t="inlineStr">
        <is>
          <t>2.8.1.3</t>
        </is>
      </c>
      <c r="C755" t="inlineStr"/>
      <c r="D755" t="inlineStr">
        <is>
          <t>FAP Annual Accounts_31.12.2024 (Polish)</t>
        </is>
      </c>
      <c r="E755" t="inlineStr">
        <is>
          <t>DOCUMENT</t>
        </is>
      </c>
    </row>
    <row r="756">
      <c r="A756" t="inlineStr">
        <is>
          <t>Project Notos</t>
        </is>
      </c>
      <c r="B756" t="inlineStr">
        <is>
          <t>2.8.1.4</t>
        </is>
      </c>
      <c r="C756" t="inlineStr"/>
      <c r="D756" t="inlineStr">
        <is>
          <t>Przeglądarka e-sprawozdań finansowych 2022</t>
        </is>
      </c>
      <c r="E756" t="inlineStr">
        <is>
          <t>DOCUMENT</t>
        </is>
      </c>
    </row>
    <row r="757">
      <c r="A757" t="inlineStr">
        <is>
          <t>Project Notos</t>
        </is>
      </c>
      <c r="B757" t="inlineStr">
        <is>
          <t>2.8.1.5</t>
        </is>
      </c>
      <c r="C757" t="inlineStr"/>
      <c r="D757" t="inlineStr">
        <is>
          <t>informacja_dodatkowa_Fertinger_do_SF_2022</t>
        </is>
      </c>
      <c r="E757" t="inlineStr">
        <is>
          <t>DOCUMENT</t>
        </is>
      </c>
    </row>
    <row r="758">
      <c r="A758" s="149" t="inlineStr">
        <is>
          <t>Project Notos</t>
        </is>
      </c>
      <c r="B758" s="149" t="inlineStr">
        <is>
          <t>2.9</t>
        </is>
      </c>
      <c r="C758" s="149" t="inlineStr">
        <is>
          <t>Fertinger Automotive North America Inc. (FA US)</t>
        </is>
      </c>
      <c r="D758" s="149" t="inlineStr"/>
      <c r="E758" s="149" t="inlineStr">
        <is>
          <t>FOLDER</t>
        </is>
      </c>
    </row>
    <row r="759">
      <c r="A759" s="149" t="inlineStr">
        <is>
          <t>Project Notos</t>
        </is>
      </c>
      <c r="B759" s="149" t="inlineStr">
        <is>
          <t>2.9.1</t>
        </is>
      </c>
      <c r="C759" s="149" t="inlineStr">
        <is>
          <t xml:space="preserve">Financials </t>
        </is>
      </c>
      <c r="D759" s="149" t="inlineStr"/>
      <c r="E759" s="149" t="inlineStr">
        <is>
          <t>FOLDER</t>
        </is>
      </c>
    </row>
    <row r="760">
      <c r="A760" t="inlineStr">
        <is>
          <t>Project Notos</t>
        </is>
      </c>
      <c r="B760" t="inlineStr">
        <is>
          <t>2.9.1.1</t>
        </is>
      </c>
      <c r="C760" t="inlineStr"/>
      <c r="D760" t="inlineStr">
        <is>
          <t>FA US Financials 2022_2025</t>
        </is>
      </c>
      <c r="E760" t="inlineStr">
        <is>
          <t>DOCUMENT</t>
        </is>
      </c>
    </row>
    <row r="761">
      <c r="A761" s="149" t="inlineStr">
        <is>
          <t>Project Notos</t>
        </is>
      </c>
      <c r="B761" s="149" t="inlineStr">
        <is>
          <t>2.10</t>
        </is>
      </c>
      <c r="C761" s="149" t="inlineStr">
        <is>
          <t>Innerio (Changsha) Thermal Technology Co. Ltd. (ITTC)</t>
        </is>
      </c>
      <c r="D761" s="149" t="inlineStr"/>
      <c r="E761" s="149" t="inlineStr">
        <is>
          <t>FOLDER</t>
        </is>
      </c>
    </row>
    <row r="762">
      <c r="A762" s="149" t="inlineStr">
        <is>
          <t>Project Notos</t>
        </is>
      </c>
      <c r="B762" s="149" t="inlineStr">
        <is>
          <t>2.10.1</t>
        </is>
      </c>
      <c r="C762" s="149" t="inlineStr">
        <is>
          <t>Financials</t>
        </is>
      </c>
      <c r="D762" s="149" t="inlineStr"/>
      <c r="E762" s="149" t="inlineStr">
        <is>
          <t>FOLDER</t>
        </is>
      </c>
    </row>
    <row r="763">
      <c r="A763" s="149" t="inlineStr">
        <is>
          <t>Project Notos</t>
        </is>
      </c>
      <c r="B763" s="149" t="inlineStr">
        <is>
          <t>2.10.1.1</t>
        </is>
      </c>
      <c r="C763" s="149" t="inlineStr">
        <is>
          <t>Annual Accounts</t>
        </is>
      </c>
      <c r="D763" s="149" t="inlineStr"/>
      <c r="E763" s="149" t="inlineStr">
        <is>
          <t>FOLDER</t>
        </is>
      </c>
    </row>
    <row r="764">
      <c r="A764" t="inlineStr">
        <is>
          <t>Project Notos</t>
        </is>
      </c>
      <c r="B764" t="inlineStr">
        <is>
          <t>2.10.1.1.1</t>
        </is>
      </c>
      <c r="C764" t="inlineStr"/>
      <c r="D764" t="inlineStr">
        <is>
          <t>ICTT_Financial Year End Statements 2022</t>
        </is>
      </c>
      <c r="E764" t="inlineStr">
        <is>
          <t>DOCUMENT</t>
        </is>
      </c>
    </row>
    <row r="765">
      <c r="A765" t="inlineStr">
        <is>
          <t>Project Notos</t>
        </is>
      </c>
      <c r="B765" t="inlineStr">
        <is>
          <t>2.10.1.1.2</t>
        </is>
      </c>
      <c r="C765" t="inlineStr"/>
      <c r="D765" t="inlineStr">
        <is>
          <t>ICTT_Financial Year End Statements 2023</t>
        </is>
      </c>
      <c r="E765" t="inlineStr">
        <is>
          <t>DOCUMENT</t>
        </is>
      </c>
    </row>
    <row r="766">
      <c r="A766" t="inlineStr">
        <is>
          <t>Project Notos</t>
        </is>
      </c>
      <c r="B766" t="inlineStr">
        <is>
          <t>2.10.1.1.3</t>
        </is>
      </c>
      <c r="C766" t="inlineStr"/>
      <c r="D766" t="inlineStr">
        <is>
          <t>Innerio Changsha - 2024 Audit Report</t>
        </is>
      </c>
      <c r="E766" t="inlineStr">
        <is>
          <t>DOCUMENT</t>
        </is>
      </c>
    </row>
    <row r="767">
      <c r="A767" t="inlineStr">
        <is>
          <t>Project Notos</t>
        </is>
      </c>
      <c r="B767" t="inlineStr">
        <is>
          <t>2.10.1.1.4</t>
        </is>
      </c>
      <c r="C767" t="inlineStr"/>
      <c r="D767" t="inlineStr">
        <is>
          <t>Innerio Changsha - 2025 Audit Report</t>
        </is>
      </c>
      <c r="E767" t="inlineStr">
        <is>
          <t>DOCUMENT</t>
        </is>
      </c>
    </row>
    <row r="768">
      <c r="A768" s="149" t="inlineStr">
        <is>
          <t>Project Notos</t>
        </is>
      </c>
      <c r="B768" s="149" t="inlineStr">
        <is>
          <t>2.11</t>
        </is>
      </c>
      <c r="C768" s="149" t="inlineStr">
        <is>
          <t>Innerio Group</t>
        </is>
      </c>
      <c r="D768" s="149" t="inlineStr"/>
      <c r="E768" s="149" t="inlineStr">
        <is>
          <t>FOLDER</t>
        </is>
      </c>
    </row>
    <row r="769">
      <c r="A769" s="149" t="inlineStr">
        <is>
          <t>Project Notos</t>
        </is>
      </c>
      <c r="B769" s="149" t="inlineStr">
        <is>
          <t>2.11.1</t>
        </is>
      </c>
      <c r="C769" s="149" t="inlineStr">
        <is>
          <t>Annual Accounts</t>
        </is>
      </c>
      <c r="D769" s="149" t="inlineStr"/>
      <c r="E769" s="149" t="inlineStr">
        <is>
          <t>FOLDER</t>
        </is>
      </c>
    </row>
    <row r="770">
      <c r="A770" t="inlineStr">
        <is>
          <t>Project Notos</t>
        </is>
      </c>
      <c r="B770" t="inlineStr">
        <is>
          <t>2.11.1.1</t>
        </is>
      </c>
      <c r="C770" t="inlineStr"/>
      <c r="D770" t="inlineStr">
        <is>
          <t>IG_Annual Accounts 2024_group</t>
        </is>
      </c>
      <c r="E770" t="inlineStr">
        <is>
          <t>DOCUMENT</t>
        </is>
      </c>
    </row>
    <row r="771">
      <c r="A771" t="inlineStr">
        <is>
          <t>Project Notos</t>
        </is>
      </c>
      <c r="B771" t="inlineStr">
        <is>
          <t>2.11.1.2</t>
        </is>
      </c>
      <c r="C771" t="inlineStr"/>
      <c r="D771" t="inlineStr">
        <is>
          <t>IG_Annual Accounts 2023_group</t>
        </is>
      </c>
      <c r="E771" t="inlineStr">
        <is>
          <t>DOCUMENT</t>
        </is>
      </c>
    </row>
    <row r="772">
      <c r="A772" t="inlineStr">
        <is>
          <t>Project Notos</t>
        </is>
      </c>
      <c r="B772" t="inlineStr">
        <is>
          <t>2.11.1.3</t>
        </is>
      </c>
      <c r="C772" t="inlineStr"/>
      <c r="D772" t="inlineStr">
        <is>
          <t>IG_Annual Accounts 2022_group</t>
        </is>
      </c>
      <c r="E772" t="inlineStr">
        <is>
          <t>DOCUMENT</t>
        </is>
      </c>
    </row>
    <row r="773">
      <c r="A773" s="149" t="inlineStr">
        <is>
          <t>Project Notos</t>
        </is>
      </c>
      <c r="B773" s="149" t="inlineStr">
        <is>
          <t>2.11.2</t>
        </is>
      </c>
      <c r="C773" s="149" t="inlineStr">
        <is>
          <t>Off-balance Liabilities</t>
        </is>
      </c>
      <c r="D773" s="149" t="inlineStr"/>
      <c r="E773" s="149" t="inlineStr">
        <is>
          <t>FOLDER</t>
        </is>
      </c>
    </row>
    <row r="774">
      <c r="A774" t="inlineStr">
        <is>
          <t>Project Notos</t>
        </is>
      </c>
      <c r="B774" t="inlineStr">
        <is>
          <t>2.11.2.1</t>
        </is>
      </c>
      <c r="C774" t="inlineStr"/>
      <c r="D774" t="inlineStr">
        <is>
          <t>Innerio Group_Off Balance Liabilities</t>
        </is>
      </c>
      <c r="E774" t="inlineStr">
        <is>
          <t>DOCUMENT</t>
        </is>
      </c>
    </row>
    <row r="775">
      <c r="A775" s="149" t="inlineStr">
        <is>
          <t>Project Notos</t>
        </is>
      </c>
      <c r="B775" s="149" t="inlineStr">
        <is>
          <t>2.11.3</t>
        </is>
      </c>
      <c r="C775" s="149" t="inlineStr">
        <is>
          <t>Current Trading</t>
        </is>
      </c>
      <c r="D775" s="149" t="inlineStr"/>
      <c r="E775" s="149" t="inlineStr">
        <is>
          <t>FOLDER</t>
        </is>
      </c>
    </row>
    <row r="776">
      <c r="A776" t="inlineStr">
        <is>
          <t>Project Notos</t>
        </is>
      </c>
      <c r="B776" t="inlineStr">
        <is>
          <t>2.11.3.1</t>
        </is>
      </c>
      <c r="C776" t="inlineStr"/>
      <c r="D776" t="inlineStr">
        <is>
          <t>Current Trading April 2026</t>
        </is>
      </c>
      <c r="E776" t="inlineStr">
        <is>
          <t>DOCUMENT</t>
        </is>
      </c>
    </row>
    <row r="777">
      <c r="A777" s="149" t="inlineStr">
        <is>
          <t>Project Notos</t>
        </is>
      </c>
      <c r="B777" s="149" t="inlineStr">
        <is>
          <t>2.11.4</t>
        </is>
      </c>
      <c r="C777" s="149" t="inlineStr">
        <is>
          <t>Rolling Forecast</t>
        </is>
      </c>
      <c r="D777" s="149" t="inlineStr"/>
      <c r="E777" s="149" t="inlineStr">
        <is>
          <t>FOLDER</t>
        </is>
      </c>
    </row>
    <row r="778">
      <c r="A778" t="inlineStr">
        <is>
          <t>Project Notos</t>
        </is>
      </c>
      <c r="B778" t="inlineStr">
        <is>
          <t>2.11.4.1</t>
        </is>
      </c>
      <c r="C778" t="inlineStr"/>
      <c r="D778" t="inlineStr">
        <is>
          <t>Rolling Forecast April 2026</t>
        </is>
      </c>
      <c r="E778" t="inlineStr">
        <is>
          <t>DOCUMENT</t>
        </is>
      </c>
    </row>
    <row r="779">
      <c r="A779" s="149" t="inlineStr">
        <is>
          <t>Project Notos</t>
        </is>
      </c>
      <c r="B779" s="149" t="inlineStr">
        <is>
          <t>2.11.5</t>
        </is>
      </c>
      <c r="C779" s="149" t="inlineStr">
        <is>
          <t>Shareholder Loans</t>
        </is>
      </c>
      <c r="D779" s="149" t="inlineStr"/>
      <c r="E779" s="149" t="inlineStr">
        <is>
          <t>FOLDER</t>
        </is>
      </c>
    </row>
    <row r="780">
      <c r="A780" t="inlineStr">
        <is>
          <t>Project Notos</t>
        </is>
      </c>
      <c r="B780" t="inlineStr">
        <is>
          <t>2.11.5.1</t>
        </is>
      </c>
      <c r="C780" t="inlineStr"/>
      <c r="D780" t="inlineStr">
        <is>
          <t>Overview Shareholder loans</t>
        </is>
      </c>
      <c r="E780" t="inlineStr">
        <is>
          <t>DOCUMENT</t>
        </is>
      </c>
    </row>
    <row r="781">
      <c r="A781" t="inlineStr">
        <is>
          <t>Project Notos</t>
        </is>
      </c>
      <c r="B781" t="inlineStr">
        <is>
          <t>2.11.5.2</t>
        </is>
      </c>
      <c r="C781" t="inlineStr"/>
      <c r="D781" t="inlineStr">
        <is>
          <t>Note Shareholder Loans</t>
        </is>
      </c>
      <c r="E781" t="inlineStr">
        <is>
          <t>DOCUMENT</t>
        </is>
      </c>
    </row>
    <row r="782">
      <c r="A782" s="149" t="inlineStr">
        <is>
          <t>Project Notos</t>
        </is>
      </c>
      <c r="B782" s="149" t="inlineStr">
        <is>
          <t>2.11.6</t>
        </is>
      </c>
      <c r="C782" s="149" t="inlineStr">
        <is>
          <t>Inventory</t>
        </is>
      </c>
      <c r="D782" s="149" t="inlineStr"/>
      <c r="E782" s="149" t="inlineStr">
        <is>
          <t>FOLDER</t>
        </is>
      </c>
    </row>
    <row r="783">
      <c r="A783" t="inlineStr">
        <is>
          <t>Project Notos</t>
        </is>
      </c>
      <c r="B783" t="inlineStr">
        <is>
          <t>2.11.6.1</t>
        </is>
      </c>
      <c r="C783" t="inlineStr"/>
      <c r="D783" t="inlineStr">
        <is>
          <t>Slow movers and obsolete stock accruals 04_2026</t>
        </is>
      </c>
      <c r="E783" t="inlineStr">
        <is>
          <t>DOCUMENT</t>
        </is>
      </c>
    </row>
    <row r="784">
      <c r="A784" s="149" t="inlineStr">
        <is>
          <t>Project Notos</t>
        </is>
      </c>
      <c r="B784" s="149" t="inlineStr">
        <is>
          <t>3</t>
        </is>
      </c>
      <c r="C784" s="149" t="inlineStr">
        <is>
          <t>Tax</t>
        </is>
      </c>
      <c r="D784" s="149" t="inlineStr"/>
      <c r="E784" s="149" t="inlineStr">
        <is>
          <t>FOLDER</t>
        </is>
      </c>
    </row>
    <row r="785">
      <c r="A785" s="149" t="inlineStr">
        <is>
          <t>Project Notos</t>
        </is>
      </c>
      <c r="B785" s="149" t="inlineStr">
        <is>
          <t>3.1</t>
        </is>
      </c>
      <c r="C785" s="149" t="inlineStr">
        <is>
          <t>Innerio Thermal Technology (ITT )</t>
        </is>
      </c>
      <c r="D785" s="149" t="inlineStr"/>
      <c r="E785" s="149" t="inlineStr">
        <is>
          <t>FOLDER</t>
        </is>
      </c>
    </row>
    <row r="786">
      <c r="A786" s="149" t="inlineStr">
        <is>
          <t>Project Notos</t>
        </is>
      </c>
      <c r="B786" s="149" t="inlineStr">
        <is>
          <t>3.1.1</t>
        </is>
      </c>
      <c r="C786" s="149" t="inlineStr">
        <is>
          <t>Tax compliance</t>
        </is>
      </c>
      <c r="D786" s="149" t="inlineStr"/>
      <c r="E786" s="149" t="inlineStr">
        <is>
          <t>FOLDER</t>
        </is>
      </c>
    </row>
    <row r="787">
      <c r="A787" t="inlineStr">
        <is>
          <t>Project Notos</t>
        </is>
      </c>
      <c r="B787" t="inlineStr">
        <is>
          <t>3.1.1.1</t>
        </is>
      </c>
      <c r="C787" t="inlineStr"/>
      <c r="D787" t="inlineStr">
        <is>
          <t>ITT Tax matrix_260413</t>
        </is>
      </c>
      <c r="E787" t="inlineStr">
        <is>
          <t>DOCUMENT</t>
        </is>
      </c>
    </row>
    <row r="788">
      <c r="A788" s="149" t="inlineStr">
        <is>
          <t>Project Notos</t>
        </is>
      </c>
      <c r="B788" s="149" t="inlineStr">
        <is>
          <t>3.1.2</t>
        </is>
      </c>
      <c r="C788" s="149" t="inlineStr">
        <is>
          <t>CIT</t>
        </is>
      </c>
      <c r="D788" s="149" t="inlineStr"/>
      <c r="E788" s="149" t="inlineStr">
        <is>
          <t>FOLDER</t>
        </is>
      </c>
    </row>
    <row r="789">
      <c r="A789" t="inlineStr">
        <is>
          <t>Project Notos</t>
        </is>
      </c>
      <c r="B789" t="inlineStr">
        <is>
          <t>3.1.2.1</t>
        </is>
      </c>
      <c r="C789" t="inlineStr"/>
      <c r="D789" t="inlineStr">
        <is>
          <t>Estra - 2023 tax return signed</t>
        </is>
      </c>
      <c r="E789" t="inlineStr">
        <is>
          <t>DOCUMENT</t>
        </is>
      </c>
    </row>
    <row r="790">
      <c r="A790" t="inlineStr">
        <is>
          <t>Project Notos</t>
        </is>
      </c>
      <c r="B790" t="inlineStr">
        <is>
          <t>3.1.2.2</t>
        </is>
      </c>
      <c r="C790" t="inlineStr"/>
      <c r="D790" t="inlineStr">
        <is>
          <t>ESTRA Automotive Systems Luxembourg S a r l_500_2024_GLOBAL_3</t>
        </is>
      </c>
      <c r="E790" t="inlineStr">
        <is>
          <t>DOCUMENT</t>
        </is>
      </c>
    </row>
    <row r="791">
      <c r="A791" s="149" t="inlineStr">
        <is>
          <t>Project Notos</t>
        </is>
      </c>
      <c r="B791" s="149" t="inlineStr">
        <is>
          <t>3.1.3</t>
        </is>
      </c>
      <c r="C791" s="149" t="inlineStr">
        <is>
          <t>VAT</t>
        </is>
      </c>
      <c r="D791" s="149" t="inlineStr"/>
      <c r="E791" s="149" t="inlineStr">
        <is>
          <t>FOLDER</t>
        </is>
      </c>
    </row>
    <row r="792">
      <c r="A792" s="149" t="inlineStr">
        <is>
          <t>Project Notos</t>
        </is>
      </c>
      <c r="B792" s="149" t="inlineStr">
        <is>
          <t>3.1.3.1</t>
        </is>
      </c>
      <c r="C792" s="149" t="inlineStr">
        <is>
          <t>2024</t>
        </is>
      </c>
      <c r="D792" s="149" t="inlineStr"/>
      <c r="E792" s="149" t="inlineStr">
        <is>
          <t>FOLDER</t>
        </is>
      </c>
    </row>
    <row r="793">
      <c r="A793" t="inlineStr">
        <is>
          <t>Project Notos</t>
        </is>
      </c>
      <c r="B793" t="inlineStr">
        <is>
          <t>3.1.3.1.1</t>
        </is>
      </c>
      <c r="C793" t="inlineStr"/>
      <c r="D793" t="inlineStr">
        <is>
          <t>Y2024 Estra filed return 20251222</t>
        </is>
      </c>
      <c r="E793" t="inlineStr">
        <is>
          <t>DOCUMENT</t>
        </is>
      </c>
    </row>
    <row r="794">
      <c r="A794" s="149" t="inlineStr">
        <is>
          <t>Project Notos</t>
        </is>
      </c>
      <c r="B794" s="149" t="inlineStr">
        <is>
          <t>3.1.4</t>
        </is>
      </c>
      <c r="C794" s="149" t="inlineStr">
        <is>
          <t>TLCF</t>
        </is>
      </c>
      <c r="D794" s="149" t="inlineStr"/>
      <c r="E794" s="149" t="inlineStr">
        <is>
          <t>FOLDER</t>
        </is>
      </c>
    </row>
    <row r="795">
      <c r="A795" t="inlineStr">
        <is>
          <t>Project Notos</t>
        </is>
      </c>
      <c r="B795" t="inlineStr">
        <is>
          <t>3.1.4.1</t>
        </is>
      </c>
      <c r="C795" t="inlineStr"/>
      <c r="D795" t="inlineStr">
        <is>
          <t>LUX Cummulated tax losses 2020-2024</t>
        </is>
      </c>
      <c r="E795" t="inlineStr">
        <is>
          <t>DOCUMENT</t>
        </is>
      </c>
    </row>
    <row r="796">
      <c r="A796" s="149" t="inlineStr">
        <is>
          <t>Project Notos</t>
        </is>
      </c>
      <c r="B796" s="149" t="inlineStr">
        <is>
          <t>3.1.5</t>
        </is>
      </c>
      <c r="C796" s="149" t="inlineStr">
        <is>
          <t>Tax audits</t>
        </is>
      </c>
      <c r="D796" s="149" t="inlineStr"/>
      <c r="E796" s="149" t="inlineStr">
        <is>
          <t>FOLDER</t>
        </is>
      </c>
    </row>
    <row r="797">
      <c r="A797" t="inlineStr">
        <is>
          <t>Project Notos</t>
        </is>
      </c>
      <c r="B797" t="inlineStr">
        <is>
          <t>3.1.5.1</t>
        </is>
      </c>
      <c r="C797" t="inlineStr"/>
      <c r="D797" t="inlineStr">
        <is>
          <t>Letter from administration _ open VAT amounts</t>
        </is>
      </c>
      <c r="E797" t="inlineStr">
        <is>
          <t>DOCUMENT</t>
        </is>
      </c>
    </row>
    <row r="798">
      <c r="A798" t="inlineStr">
        <is>
          <t>Project Notos</t>
        </is>
      </c>
      <c r="B798" t="inlineStr">
        <is>
          <t>3.1.5.2</t>
        </is>
      </c>
      <c r="C798" t="inlineStr"/>
      <c r="D798" t="inlineStr">
        <is>
          <t>Refund LU of the years 2022-2023</t>
        </is>
      </c>
      <c r="E798" t="inlineStr">
        <is>
          <t>DOCUMENT</t>
        </is>
      </c>
    </row>
    <row r="799">
      <c r="A799" t="inlineStr">
        <is>
          <t>Project Notos</t>
        </is>
      </c>
      <c r="B799" t="inlineStr">
        <is>
          <t>3.1.5.3</t>
        </is>
      </c>
      <c r="C799" t="inlineStr"/>
      <c r="D799" t="inlineStr">
        <is>
          <t>Y2022 Estra filed return 20231222</t>
        </is>
      </c>
      <c r="E799" t="inlineStr">
        <is>
          <t>DOCUMENT</t>
        </is>
      </c>
    </row>
    <row r="800">
      <c r="A800" s="149" t="inlineStr">
        <is>
          <t>Project Notos</t>
        </is>
      </c>
      <c r="B800" s="149" t="inlineStr">
        <is>
          <t>3.1.6</t>
        </is>
      </c>
      <c r="C800" s="149" t="inlineStr">
        <is>
          <t>Other</t>
        </is>
      </c>
      <c r="D800" s="149" t="inlineStr"/>
      <c r="E800" s="149" t="inlineStr">
        <is>
          <t>FOLDER</t>
        </is>
      </c>
    </row>
    <row r="801">
      <c r="A801" s="149" t="inlineStr">
        <is>
          <t>Project Notos</t>
        </is>
      </c>
      <c r="B801" s="149" t="inlineStr">
        <is>
          <t>3.1.6.1</t>
        </is>
      </c>
      <c r="C801" s="149" t="inlineStr">
        <is>
          <t>Freelancer</t>
        </is>
      </c>
      <c r="D801" s="149" t="inlineStr"/>
      <c r="E801" s="149" t="inlineStr">
        <is>
          <t>FOLDER</t>
        </is>
      </c>
    </row>
    <row r="802">
      <c r="A802" t="inlineStr">
        <is>
          <t>Project Notos</t>
        </is>
      </c>
      <c r="B802" t="inlineStr">
        <is>
          <t>3.1.6.1.1</t>
        </is>
      </c>
      <c r="C802" t="inlineStr"/>
      <c r="D802" t="inlineStr">
        <is>
          <t>Lux Frelancers' contracts</t>
        </is>
      </c>
      <c r="E802" t="inlineStr">
        <is>
          <t>DOCUMENT</t>
        </is>
      </c>
    </row>
    <row r="803">
      <c r="A803" s="149" t="inlineStr">
        <is>
          <t>Project Notos</t>
        </is>
      </c>
      <c r="B803" s="149" t="inlineStr">
        <is>
          <t>3.1.7</t>
        </is>
      </c>
      <c r="C803" s="149" t="inlineStr">
        <is>
          <t>Polish branch office</t>
        </is>
      </c>
      <c r="D803" s="149" t="inlineStr"/>
      <c r="E803" s="149" t="inlineStr">
        <is>
          <t>FOLDER</t>
        </is>
      </c>
    </row>
    <row r="804">
      <c r="A804" s="149" t="inlineStr">
        <is>
          <t>Project Notos</t>
        </is>
      </c>
      <c r="B804" s="149" t="inlineStr">
        <is>
          <t>3.1.7.1</t>
        </is>
      </c>
      <c r="C804" s="149" t="inlineStr">
        <is>
          <t>Transfer pricing</t>
        </is>
      </c>
      <c r="D804" s="149" t="inlineStr"/>
      <c r="E804" s="149" t="inlineStr">
        <is>
          <t>FOLDER</t>
        </is>
      </c>
    </row>
    <row r="805">
      <c r="A805" s="149" t="inlineStr">
        <is>
          <t>Project Notos</t>
        </is>
      </c>
      <c r="B805" s="149" t="inlineStr">
        <is>
          <t>3.1.7.1.1</t>
        </is>
      </c>
      <c r="C805" s="149" t="inlineStr">
        <is>
          <t>LF 2023 final</t>
        </is>
      </c>
      <c r="D805" s="149" t="inlineStr"/>
      <c r="E805" s="149" t="inlineStr">
        <is>
          <t>FOLDER</t>
        </is>
      </c>
    </row>
    <row r="806">
      <c r="A806" t="inlineStr">
        <is>
          <t>Project Notos</t>
        </is>
      </c>
      <c r="B806" t="inlineStr">
        <is>
          <t>3.1.7.1.1.1</t>
        </is>
      </c>
      <c r="C806" t="inlineStr"/>
      <c r="D806" t="inlineStr">
        <is>
          <t>Estra_Local File_2023_ z dodatkowymi transakcjami_wersja finalna</t>
        </is>
      </c>
      <c r="E806" t="inlineStr">
        <is>
          <t>DOCUMENT</t>
        </is>
      </c>
    </row>
    <row r="807">
      <c r="A807" s="149" t="inlineStr">
        <is>
          <t>Project Notos</t>
        </is>
      </c>
      <c r="B807" s="149" t="inlineStr">
        <is>
          <t>3.1.7.1.2</t>
        </is>
      </c>
      <c r="C807" s="149" t="inlineStr">
        <is>
          <t>LF 2024 final</t>
        </is>
      </c>
      <c r="D807" s="149" t="inlineStr"/>
      <c r="E807" s="149" t="inlineStr">
        <is>
          <t>FOLDER</t>
        </is>
      </c>
    </row>
    <row r="808">
      <c r="A808" s="149" t="inlineStr">
        <is>
          <t>Project Notos</t>
        </is>
      </c>
      <c r="B808" s="149" t="inlineStr">
        <is>
          <t>3.1.7.1.2.1</t>
        </is>
      </c>
      <c r="C808" s="149" t="inlineStr">
        <is>
          <t>2024</t>
        </is>
      </c>
      <c r="D808" s="149" t="inlineStr"/>
      <c r="E808" s="149" t="inlineStr">
        <is>
          <t>FOLDER</t>
        </is>
      </c>
    </row>
    <row r="809">
      <c r="A809" t="inlineStr">
        <is>
          <t>Project Notos</t>
        </is>
      </c>
      <c r="B809" t="inlineStr">
        <is>
          <t>3.1.7.1.2.1.1</t>
        </is>
      </c>
      <c r="C809" t="inlineStr"/>
      <c r="D809" t="inlineStr">
        <is>
          <t>Estra_Local File_2024 final</t>
        </is>
      </c>
      <c r="E809" t="inlineStr">
        <is>
          <t>DOCUMENT</t>
        </is>
      </c>
    </row>
    <row r="810">
      <c r="A810" s="149" t="inlineStr">
        <is>
          <t>Project Notos</t>
        </is>
      </c>
      <c r="B810" s="149" t="inlineStr">
        <is>
          <t>3.1.7.2</t>
        </is>
      </c>
      <c r="C810" s="149" t="inlineStr">
        <is>
          <t>CIT</t>
        </is>
      </c>
      <c r="D810" s="149" t="inlineStr"/>
      <c r="E810" s="149" t="inlineStr">
        <is>
          <t>FOLDER</t>
        </is>
      </c>
    </row>
    <row r="811">
      <c r="A811" s="149" t="inlineStr">
        <is>
          <t>Project Notos</t>
        </is>
      </c>
      <c r="B811" s="149" t="inlineStr">
        <is>
          <t>3.1.7.2.1</t>
        </is>
      </c>
      <c r="C811" s="149" t="inlineStr">
        <is>
          <t>2024</t>
        </is>
      </c>
      <c r="D811" s="149" t="inlineStr"/>
      <c r="E811" s="149" t="inlineStr">
        <is>
          <t>FOLDER</t>
        </is>
      </c>
    </row>
    <row r="812">
      <c r="A812" t="inlineStr">
        <is>
          <t>Project Notos</t>
        </is>
      </c>
      <c r="B812" t="inlineStr">
        <is>
          <t>3.1.7.2.1.1</t>
        </is>
      </c>
      <c r="C812" t="inlineStr"/>
      <c r="D812" t="inlineStr">
        <is>
          <t>CIT-8 2024 Korekta 3</t>
        </is>
      </c>
      <c r="E812" t="inlineStr">
        <is>
          <t>DOCUMENT</t>
        </is>
      </c>
    </row>
    <row r="813">
      <c r="A813" s="149" t="inlineStr">
        <is>
          <t>Project Notos</t>
        </is>
      </c>
      <c r="B813" s="149" t="inlineStr">
        <is>
          <t>3.1.7.2.2</t>
        </is>
      </c>
      <c r="C813" s="149" t="inlineStr">
        <is>
          <t>2025</t>
        </is>
      </c>
      <c r="D813" s="149" t="inlineStr"/>
      <c r="E813" s="149" t="inlineStr">
        <is>
          <t>FOLDER</t>
        </is>
      </c>
    </row>
    <row r="814">
      <c r="A814" t="inlineStr">
        <is>
          <t>Project Notos</t>
        </is>
      </c>
      <c r="B814" t="inlineStr">
        <is>
          <t>3.1.7.2.2.1</t>
        </is>
      </c>
      <c r="C814" t="inlineStr"/>
      <c r="D814" t="inlineStr">
        <is>
          <t>CIT-8 (1)</t>
        </is>
      </c>
      <c r="E814" t="inlineStr">
        <is>
          <t>DOCUMENT</t>
        </is>
      </c>
    </row>
    <row r="815">
      <c r="A815" s="149" t="inlineStr">
        <is>
          <t>Project Notos</t>
        </is>
      </c>
      <c r="B815" s="149" t="inlineStr">
        <is>
          <t>3.1.7.2.3</t>
        </is>
      </c>
      <c r="C815" s="149" t="inlineStr">
        <is>
          <t>2023</t>
        </is>
      </c>
      <c r="D815" s="149" t="inlineStr"/>
      <c r="E815" s="149" t="inlineStr">
        <is>
          <t>FOLDER</t>
        </is>
      </c>
    </row>
    <row r="816">
      <c r="A816" t="inlineStr">
        <is>
          <t>Project Notos</t>
        </is>
      </c>
      <c r="B816" t="inlineStr">
        <is>
          <t>3.1.7.2.3.1</t>
        </is>
      </c>
      <c r="C816" t="inlineStr"/>
      <c r="D816" t="inlineStr">
        <is>
          <t>CIT-8 2023 Estra Lux</t>
        </is>
      </c>
      <c r="E816" t="inlineStr">
        <is>
          <t>DOCUMENT</t>
        </is>
      </c>
    </row>
    <row r="817">
      <c r="A817" t="inlineStr">
        <is>
          <t>Project Notos</t>
        </is>
      </c>
      <c r="B817" t="inlineStr">
        <is>
          <t>3.1.7.2.3.2</t>
        </is>
      </c>
      <c r="C817" t="inlineStr"/>
      <c r="D817" t="inlineStr">
        <is>
          <t>Estra  CIT 8 2023</t>
        </is>
      </c>
      <c r="E817" t="inlineStr">
        <is>
          <t>DOCUMENT</t>
        </is>
      </c>
    </row>
    <row r="818">
      <c r="A818" s="149" t="inlineStr">
        <is>
          <t>Project Notos</t>
        </is>
      </c>
      <c r="B818" s="149" t="inlineStr">
        <is>
          <t>3.1.7.3</t>
        </is>
      </c>
      <c r="C818" s="149" t="inlineStr">
        <is>
          <t>VAT</t>
        </is>
      </c>
      <c r="D818" s="149" t="inlineStr"/>
      <c r="E818" s="149" t="inlineStr">
        <is>
          <t>FOLDER</t>
        </is>
      </c>
    </row>
    <row r="819">
      <c r="A819" s="149" t="inlineStr">
        <is>
          <t>Project Notos</t>
        </is>
      </c>
      <c r="B819" s="149" t="inlineStr">
        <is>
          <t>3.1.7.3.1</t>
        </is>
      </c>
      <c r="C819" s="149" t="inlineStr">
        <is>
          <t>2025</t>
        </is>
      </c>
      <c r="D819" s="149" t="inlineStr"/>
      <c r="E819" s="149" t="inlineStr">
        <is>
          <t>FOLDER</t>
        </is>
      </c>
    </row>
    <row r="820">
      <c r="A820" s="149" t="inlineStr">
        <is>
          <t>Project Notos</t>
        </is>
      </c>
      <c r="B820" s="149" t="inlineStr">
        <is>
          <t>3.1.7.3.1.1</t>
        </is>
      </c>
      <c r="C820" s="149" t="inlineStr">
        <is>
          <t>11.2025</t>
        </is>
      </c>
      <c r="D820" s="149" t="inlineStr"/>
      <c r="E820" s="149" t="inlineStr">
        <is>
          <t>FOLDER</t>
        </is>
      </c>
    </row>
    <row r="821">
      <c r="A821" t="inlineStr">
        <is>
          <t>Project Notos</t>
        </is>
      </c>
      <c r="B821" t="inlineStr">
        <is>
          <t>3.1.7.3.1.1.1</t>
        </is>
      </c>
      <c r="C821" t="inlineStr"/>
      <c r="D821" t="inlineStr">
        <is>
          <t>JPK_V7M_202511_Kor_DeklEw_20260203_3d38e5e6</t>
        </is>
      </c>
      <c r="E821" t="inlineStr">
        <is>
          <t>DOCUMENT</t>
        </is>
      </c>
    </row>
    <row r="822">
      <c r="A822" t="inlineStr">
        <is>
          <t>Project Notos</t>
        </is>
      </c>
      <c r="B822" t="inlineStr">
        <is>
          <t>3.1.7.3.1.1.2</t>
        </is>
      </c>
      <c r="C822" t="inlineStr"/>
      <c r="D822" t="inlineStr">
        <is>
          <t>JPK_V7M_202511_Kor_DeklEw_20260220_95c6754f</t>
        </is>
      </c>
      <c r="E822" t="inlineStr">
        <is>
          <t>DOCUMENT</t>
        </is>
      </c>
    </row>
    <row r="823">
      <c r="A823" t="inlineStr">
        <is>
          <t>Project Notos</t>
        </is>
      </c>
      <c r="B823" t="inlineStr">
        <is>
          <t>3.1.7.3.1.1.3</t>
        </is>
      </c>
      <c r="C823" t="inlineStr"/>
      <c r="D823" t="inlineStr">
        <is>
          <t>JPK_V7M_202511_Zl_DeklEw_20251223_d0562ec</t>
        </is>
      </c>
      <c r="E823" t="inlineStr">
        <is>
          <t>DOCUMENT</t>
        </is>
      </c>
    </row>
    <row r="824">
      <c r="A824" s="149" t="inlineStr">
        <is>
          <t>Project Notos</t>
        </is>
      </c>
      <c r="B824" s="149" t="inlineStr">
        <is>
          <t>3.1.7.3.1.2</t>
        </is>
      </c>
      <c r="C824" s="149" t="inlineStr">
        <is>
          <t>12.2025</t>
        </is>
      </c>
      <c r="D824" s="149" t="inlineStr"/>
      <c r="E824" s="149" t="inlineStr">
        <is>
          <t>FOLDER</t>
        </is>
      </c>
    </row>
    <row r="825">
      <c r="A825" t="inlineStr">
        <is>
          <t>Project Notos</t>
        </is>
      </c>
      <c r="B825" t="inlineStr">
        <is>
          <t>3.1.7.3.1.2.1</t>
        </is>
      </c>
      <c r="C825" t="inlineStr"/>
      <c r="D825" t="inlineStr">
        <is>
          <t>JPK_V7M_202512_Kor_DeklEw_20260220_95c8cc8e</t>
        </is>
      </c>
      <c r="E825" t="inlineStr">
        <is>
          <t>DOCUMENT</t>
        </is>
      </c>
    </row>
    <row r="826">
      <c r="A826" t="inlineStr">
        <is>
          <t>Project Notos</t>
        </is>
      </c>
      <c r="B826" t="inlineStr">
        <is>
          <t>3.1.7.3.1.2.2</t>
        </is>
      </c>
      <c r="C826" t="inlineStr"/>
      <c r="D826" t="inlineStr">
        <is>
          <t>JPK_V7M_202512_Zl_DeklEw_20260126_154eb92e</t>
        </is>
      </c>
      <c r="E826" t="inlineStr">
        <is>
          <t>DOCUMENT</t>
        </is>
      </c>
    </row>
    <row r="827">
      <c r="A827" s="149" t="inlineStr">
        <is>
          <t>Project Notos</t>
        </is>
      </c>
      <c r="B827" s="149" t="inlineStr">
        <is>
          <t>3.1.7.4</t>
        </is>
      </c>
      <c r="C827" s="149" t="inlineStr">
        <is>
          <t>CIT 2024_tax control final protocol</t>
        </is>
      </c>
      <c r="D827" s="149" t="inlineStr"/>
      <c r="E827" s="149" t="inlineStr">
        <is>
          <t>FOLDER</t>
        </is>
      </c>
    </row>
    <row r="828">
      <c r="A828" t="inlineStr">
        <is>
          <t>Project Notos</t>
        </is>
      </c>
      <c r="B828" t="inlineStr">
        <is>
          <t>3.1.7.4.1</t>
        </is>
      </c>
      <c r="C828" t="inlineStr"/>
      <c r="D828" t="inlineStr">
        <is>
          <t>2471-26-011456</t>
        </is>
      </c>
      <c r="E828" t="inlineStr">
        <is>
          <t>DOCUMENT</t>
        </is>
      </c>
    </row>
    <row r="829">
      <c r="A829" t="inlineStr">
        <is>
          <t>Project Notos</t>
        </is>
      </c>
      <c r="B829" t="inlineStr">
        <is>
          <t>3.1.7.4.2</t>
        </is>
      </c>
      <c r="C829" t="inlineStr"/>
      <c r="D829" t="inlineStr">
        <is>
          <t>2471-24-043344 Protokół Kontroli Podatkowej ESTRA AUTOMOTIVE SYSTEMS  LUXEMBOURG Sarl., NIP 5263325222.docx</t>
        </is>
      </c>
      <c r="E829" t="inlineStr">
        <is>
          <t>DOCUMENT</t>
        </is>
      </c>
    </row>
    <row r="830">
      <c r="A830" t="inlineStr">
        <is>
          <t>Project Notos</t>
        </is>
      </c>
      <c r="B830" t="inlineStr">
        <is>
          <t>3.1.7.4.3</t>
        </is>
      </c>
      <c r="C830" t="inlineStr"/>
      <c r="D830" t="inlineStr">
        <is>
          <t>2471-24-046042 informacja o  sprostowaniu oczywistej omyłki.docx</t>
        </is>
      </c>
      <c r="E830" t="inlineStr">
        <is>
          <t>DOCUMENT</t>
        </is>
      </c>
    </row>
    <row r="831">
      <c r="A831" s="149" t="inlineStr">
        <is>
          <t>Project Notos</t>
        </is>
      </c>
      <c r="B831" s="149" t="inlineStr">
        <is>
          <t>3.2</t>
        </is>
      </c>
      <c r="C831" s="149" t="inlineStr">
        <is>
          <t>Innerio Heat Exchanger (IHE)</t>
        </is>
      </c>
      <c r="D831" s="149" t="inlineStr"/>
      <c r="E831" s="149" t="inlineStr">
        <is>
          <t>FOLDER</t>
        </is>
      </c>
    </row>
    <row r="832">
      <c r="A832" s="149" t="inlineStr">
        <is>
          <t>Project Notos</t>
        </is>
      </c>
      <c r="B832" s="149" t="inlineStr">
        <is>
          <t>3.2.1</t>
        </is>
      </c>
      <c r="C832" s="149" t="inlineStr">
        <is>
          <t>Tax compliance</t>
        </is>
      </c>
      <c r="D832" s="149" t="inlineStr"/>
      <c r="E832" s="149" t="inlineStr">
        <is>
          <t>FOLDER</t>
        </is>
      </c>
    </row>
    <row r="833">
      <c r="A833" t="inlineStr">
        <is>
          <t>Project Notos</t>
        </is>
      </c>
      <c r="B833" t="inlineStr">
        <is>
          <t>3.2.1.1</t>
        </is>
      </c>
      <c r="C833" t="inlineStr"/>
      <c r="D833" t="inlineStr">
        <is>
          <t>260408_Overview Tax</t>
        </is>
      </c>
      <c r="E833" t="inlineStr">
        <is>
          <t>DOCUMENT</t>
        </is>
      </c>
    </row>
    <row r="834">
      <c r="A834" t="inlineStr">
        <is>
          <t>Project Notos</t>
        </is>
      </c>
      <c r="B834" t="inlineStr">
        <is>
          <t>3.2.1.2</t>
        </is>
      </c>
      <c r="C834" t="inlineStr"/>
      <c r="D834" t="inlineStr">
        <is>
          <t>250821_Selbstanzeige</t>
        </is>
      </c>
      <c r="E834" t="inlineStr">
        <is>
          <t>DOCUMENT</t>
        </is>
      </c>
    </row>
    <row r="835">
      <c r="A835" t="inlineStr">
        <is>
          <t>Project Notos</t>
        </is>
      </c>
      <c r="B835" t="inlineStr">
        <is>
          <t>3.2.1.3</t>
        </is>
      </c>
      <c r="C835" t="inlineStr"/>
      <c r="D835" t="inlineStr">
        <is>
          <t>250821_Selbstanzeige_Beilage 1</t>
        </is>
      </c>
      <c r="E835" t="inlineStr">
        <is>
          <t>DOCUMENT</t>
        </is>
      </c>
    </row>
    <row r="836">
      <c r="A836" t="inlineStr">
        <is>
          <t>Project Notos</t>
        </is>
      </c>
      <c r="B836" t="inlineStr">
        <is>
          <t>3.2.1.4</t>
        </is>
      </c>
      <c r="C836" t="inlineStr"/>
      <c r="D836" t="inlineStr">
        <is>
          <t>250821_Selbstanzeige_Beilage 2</t>
        </is>
      </c>
      <c r="E836" t="inlineStr">
        <is>
          <t>DOCUMENT</t>
        </is>
      </c>
    </row>
    <row r="837">
      <c r="A837" t="inlineStr">
        <is>
          <t>Project Notos</t>
        </is>
      </c>
      <c r="B837" t="inlineStr">
        <is>
          <t>3.2.1.5</t>
        </is>
      </c>
      <c r="C837" t="inlineStr"/>
      <c r="D837" t="inlineStr">
        <is>
          <t>250924_Offenlegung § 29</t>
        </is>
      </c>
      <c r="E837" t="inlineStr">
        <is>
          <t>DOCUMENT</t>
        </is>
      </c>
    </row>
    <row r="838">
      <c r="A838" s="149" t="inlineStr">
        <is>
          <t>Project Notos</t>
        </is>
      </c>
      <c r="B838" s="149" t="inlineStr">
        <is>
          <t>3.2.2</t>
        </is>
      </c>
      <c r="C838" s="149" t="inlineStr">
        <is>
          <t>CIT</t>
        </is>
      </c>
      <c r="D838" s="149" t="inlineStr"/>
      <c r="E838" s="149" t="inlineStr">
        <is>
          <t>FOLDER</t>
        </is>
      </c>
    </row>
    <row r="839">
      <c r="A839" t="inlineStr">
        <is>
          <t>Project Notos</t>
        </is>
      </c>
      <c r="B839" t="inlineStr">
        <is>
          <t>3.2.2.1</t>
        </is>
      </c>
      <c r="C839" t="inlineStr"/>
      <c r="D839" t="inlineStr">
        <is>
          <t>Innerio Heat Exchanger - KStek 2023</t>
        </is>
      </c>
      <c r="E839" t="inlineStr">
        <is>
          <t>DOCUMENT</t>
        </is>
      </c>
    </row>
    <row r="840">
      <c r="A840" s="149" t="inlineStr">
        <is>
          <t>Project Notos</t>
        </is>
      </c>
      <c r="B840" s="149" t="inlineStr">
        <is>
          <t>3.2.3</t>
        </is>
      </c>
      <c r="C840" s="149" t="inlineStr">
        <is>
          <t>VAT</t>
        </is>
      </c>
      <c r="D840" s="149" t="inlineStr"/>
      <c r="E840" s="149" t="inlineStr">
        <is>
          <t>FOLDER</t>
        </is>
      </c>
    </row>
    <row r="841">
      <c r="A841" t="inlineStr">
        <is>
          <t>Project Notos</t>
        </is>
      </c>
      <c r="B841" t="inlineStr">
        <is>
          <t>3.2.3.1</t>
        </is>
      </c>
      <c r="C841" t="inlineStr"/>
      <c r="D841" t="inlineStr">
        <is>
          <t>Innerio Heat Exchanger - UStek 2023</t>
        </is>
      </c>
      <c r="E841" t="inlineStr">
        <is>
          <t>DOCUMENT</t>
        </is>
      </c>
    </row>
    <row r="842">
      <c r="A842" s="149" t="inlineStr">
        <is>
          <t>Project Notos</t>
        </is>
      </c>
      <c r="B842" s="149" t="inlineStr">
        <is>
          <t>3.2.4</t>
        </is>
      </c>
      <c r="C842" s="149" t="inlineStr">
        <is>
          <t>Assessment notices</t>
        </is>
      </c>
      <c r="D842" s="149" t="inlineStr"/>
      <c r="E842" s="149" t="inlineStr">
        <is>
          <t>FOLDER</t>
        </is>
      </c>
    </row>
    <row r="843">
      <c r="A843" t="inlineStr">
        <is>
          <t>Project Notos</t>
        </is>
      </c>
      <c r="B843" t="inlineStr">
        <is>
          <t>3.2.4.1</t>
        </is>
      </c>
      <c r="C843" t="inlineStr"/>
      <c r="D843" t="inlineStr">
        <is>
          <t>250523_Umsatzsteuerbescheid 2023</t>
        </is>
      </c>
      <c r="E843" t="inlineStr">
        <is>
          <t>DOCUMENT</t>
        </is>
      </c>
    </row>
    <row r="844">
      <c r="A844" s="149" t="inlineStr">
        <is>
          <t>Project Notos</t>
        </is>
      </c>
      <c r="B844" s="149" t="inlineStr">
        <is>
          <t>3.2.5</t>
        </is>
      </c>
      <c r="C844" s="149" t="inlineStr">
        <is>
          <t>Tax audits</t>
        </is>
      </c>
      <c r="D844" s="149" t="inlineStr"/>
      <c r="E844" s="149" t="inlineStr">
        <is>
          <t>FOLDER</t>
        </is>
      </c>
    </row>
    <row r="845">
      <c r="A845" t="inlineStr">
        <is>
          <t>Project Notos</t>
        </is>
      </c>
      <c r="B845" t="inlineStr">
        <is>
          <t>3.2.5.1</t>
        </is>
      </c>
      <c r="C845" t="inlineStr"/>
      <c r="D845" t="inlineStr">
        <is>
          <t>Betriebsprüfung GPLA_2016</t>
        </is>
      </c>
      <c r="E845" t="inlineStr">
        <is>
          <t>DOCUMENT</t>
        </is>
      </c>
    </row>
    <row r="846">
      <c r="A846" t="inlineStr">
        <is>
          <t>Project Notos</t>
        </is>
      </c>
      <c r="B846" t="inlineStr">
        <is>
          <t>3.2.5.2</t>
        </is>
      </c>
      <c r="C846" t="inlineStr"/>
      <c r="D846" t="inlineStr">
        <is>
          <t>Betriebsprüfung nach § 28 p Abs. 1 des Vierten Buches des Sozialgesetzbuches (SGB IV)</t>
        </is>
      </c>
      <c r="E846" t="inlineStr">
        <is>
          <t>DOCUMENT</t>
        </is>
      </c>
    </row>
    <row r="847">
      <c r="A847" t="inlineStr">
        <is>
          <t>Project Notos</t>
        </is>
      </c>
      <c r="B847" t="inlineStr">
        <is>
          <t>3.2.5.3</t>
        </is>
      </c>
      <c r="C847" t="inlineStr"/>
      <c r="D847" t="inlineStr">
        <is>
          <t>Betriebsprüfung Verlustersatz II</t>
        </is>
      </c>
      <c r="E847" t="inlineStr">
        <is>
          <t>DOCUMENT</t>
        </is>
      </c>
    </row>
    <row r="848">
      <c r="A848" t="inlineStr">
        <is>
          <t>Project Notos</t>
        </is>
      </c>
      <c r="B848" t="inlineStr">
        <is>
          <t>3.2.5.4</t>
        </is>
      </c>
      <c r="C848" t="inlineStr"/>
      <c r="D848" t="inlineStr">
        <is>
          <t>Betriebsprüfung_USt_KÖSt_KESt_ZM_2020</t>
        </is>
      </c>
      <c r="E848" t="inlineStr">
        <is>
          <t>DOCUMENT</t>
        </is>
      </c>
    </row>
    <row r="849">
      <c r="A849" t="inlineStr">
        <is>
          <t>Project Notos</t>
        </is>
      </c>
      <c r="B849" t="inlineStr">
        <is>
          <t>3.2.5.5</t>
        </is>
      </c>
      <c r="C849" t="inlineStr"/>
      <c r="D849" t="inlineStr">
        <is>
          <t>Innerio Heat Exchanger GmbH - Prüfungsankündigung Lohnsteuerprüfung</t>
        </is>
      </c>
      <c r="E849" t="inlineStr">
        <is>
          <t>DOCUMENT</t>
        </is>
      </c>
    </row>
    <row r="850">
      <c r="A850" t="inlineStr">
        <is>
          <t>Project Notos</t>
        </is>
      </c>
      <c r="B850" t="inlineStr">
        <is>
          <t>3.2.5.6</t>
        </is>
      </c>
      <c r="C850" t="inlineStr"/>
      <c r="D850" t="inlineStr">
        <is>
          <t>Zollprüfung 13.09.2023-31.08.2025</t>
        </is>
      </c>
      <c r="E850" t="inlineStr">
        <is>
          <t>DOCUMENT</t>
        </is>
      </c>
    </row>
    <row r="851">
      <c r="A851" t="inlineStr">
        <is>
          <t>Project Notos</t>
        </is>
      </c>
      <c r="B851" t="inlineStr">
        <is>
          <t>3.2.5.7</t>
        </is>
      </c>
      <c r="C851" t="inlineStr"/>
      <c r="D851" t="inlineStr">
        <is>
          <t>Zollprüfung_2023</t>
        </is>
      </c>
      <c r="E851" t="inlineStr">
        <is>
          <t>DOCUMENT</t>
        </is>
      </c>
    </row>
    <row r="852">
      <c r="A852" t="inlineStr">
        <is>
          <t>Project Notos</t>
        </is>
      </c>
      <c r="B852" t="inlineStr">
        <is>
          <t>3.2.5.8</t>
        </is>
      </c>
      <c r="C852" t="inlineStr"/>
      <c r="D852" t="inlineStr">
        <is>
          <t>Zollprüfung_2023_Anhänge</t>
        </is>
      </c>
      <c r="E852" t="inlineStr">
        <is>
          <t>DOCUMENT</t>
        </is>
      </c>
    </row>
    <row r="853">
      <c r="A853" s="149" t="inlineStr">
        <is>
          <t>Project Notos</t>
        </is>
      </c>
      <c r="B853" s="149" t="inlineStr">
        <is>
          <t>3.2.6</t>
        </is>
      </c>
      <c r="C853" s="149" t="inlineStr">
        <is>
          <t>CIT group</t>
        </is>
      </c>
      <c r="D853" s="149" t="inlineStr"/>
      <c r="E853" s="149" t="inlineStr">
        <is>
          <t>FOLDER</t>
        </is>
      </c>
    </row>
    <row r="854">
      <c r="A854" t="inlineStr">
        <is>
          <t>Project Notos</t>
        </is>
      </c>
      <c r="B854" t="inlineStr">
        <is>
          <t>3.2.6.1</t>
        </is>
      </c>
      <c r="C854" t="inlineStr"/>
      <c r="D854" t="inlineStr">
        <is>
          <t>250205_Gruppenfeststellungsbescheid</t>
        </is>
      </c>
      <c r="E854" t="inlineStr">
        <is>
          <t>DOCUMENT</t>
        </is>
      </c>
    </row>
    <row r="855">
      <c r="A855" t="inlineStr">
        <is>
          <t>Project Notos</t>
        </is>
      </c>
      <c r="B855" t="inlineStr">
        <is>
          <t>3.2.6.2</t>
        </is>
      </c>
      <c r="C855" t="inlineStr"/>
      <c r="D855" t="inlineStr">
        <is>
          <t>250110_Bescheid über die Beendigung der Unternehmensgruppe</t>
        </is>
      </c>
      <c r="E855" t="inlineStr">
        <is>
          <t>DOCUMENT</t>
        </is>
      </c>
    </row>
    <row r="856">
      <c r="A856" s="149" t="inlineStr">
        <is>
          <t>Project Notos</t>
        </is>
      </c>
      <c r="B856" s="149" t="inlineStr">
        <is>
          <t>3.2.7</t>
        </is>
      </c>
      <c r="C856" s="149" t="inlineStr">
        <is>
          <t>Other</t>
        </is>
      </c>
      <c r="D856" s="149" t="inlineStr"/>
      <c r="E856" s="149" t="inlineStr">
        <is>
          <t>FOLDER</t>
        </is>
      </c>
    </row>
    <row r="857">
      <c r="A857" s="149" t="inlineStr">
        <is>
          <t>Project Notos</t>
        </is>
      </c>
      <c r="B857" s="149" t="inlineStr">
        <is>
          <t>3.2.7.1</t>
        </is>
      </c>
      <c r="C857" s="149" t="inlineStr">
        <is>
          <t>WiEReG</t>
        </is>
      </c>
      <c r="D857" s="149" t="inlineStr"/>
      <c r="E857" s="149" t="inlineStr">
        <is>
          <t>FOLDER</t>
        </is>
      </c>
    </row>
    <row r="858">
      <c r="A858" t="inlineStr">
        <is>
          <t>Project Notos</t>
        </is>
      </c>
      <c r="B858" t="inlineStr">
        <is>
          <t>3.2.7.1.1</t>
        </is>
      </c>
      <c r="C858" t="inlineStr"/>
      <c r="D858" t="inlineStr">
        <is>
          <t>WiEReG_IHE_Meldung_23.03.2026</t>
        </is>
      </c>
      <c r="E858" t="inlineStr">
        <is>
          <t>DOCUMENT</t>
        </is>
      </c>
    </row>
    <row r="859">
      <c r="A859" s="149" t="inlineStr">
        <is>
          <t>Project Notos</t>
        </is>
      </c>
      <c r="B859" s="149" t="inlineStr">
        <is>
          <t>3.3</t>
        </is>
      </c>
      <c r="C859" s="149" t="inlineStr">
        <is>
          <t>Rupert Fertinger (RF)</t>
        </is>
      </c>
      <c r="D859" s="149" t="inlineStr"/>
      <c r="E859" s="149" t="inlineStr">
        <is>
          <t>FOLDER</t>
        </is>
      </c>
    </row>
    <row r="860">
      <c r="A860" s="149" t="inlineStr">
        <is>
          <t>Project Notos</t>
        </is>
      </c>
      <c r="B860" s="149" t="inlineStr">
        <is>
          <t>3.3.1</t>
        </is>
      </c>
      <c r="C860" s="149" t="inlineStr">
        <is>
          <t>Tax compliance</t>
        </is>
      </c>
      <c r="D860" s="149" t="inlineStr"/>
      <c r="E860" s="149" t="inlineStr">
        <is>
          <t>FOLDER</t>
        </is>
      </c>
    </row>
    <row r="861">
      <c r="A861" t="inlineStr">
        <is>
          <t>Project Notos</t>
        </is>
      </c>
      <c r="B861" t="inlineStr">
        <is>
          <t>3.3.1.1</t>
        </is>
      </c>
      <c r="C861" t="inlineStr"/>
      <c r="D861" t="inlineStr">
        <is>
          <t>260408_Overview Tax</t>
        </is>
      </c>
      <c r="E861" t="inlineStr">
        <is>
          <t>DOCUMENT</t>
        </is>
      </c>
    </row>
    <row r="862">
      <c r="A862" t="inlineStr">
        <is>
          <t>Project Notos</t>
        </is>
      </c>
      <c r="B862" t="inlineStr">
        <is>
          <t>3.3.1.2</t>
        </is>
      </c>
      <c r="C862" t="inlineStr"/>
      <c r="D862" t="inlineStr">
        <is>
          <t>RF Finanzamt 8.4.26</t>
        </is>
      </c>
      <c r="E862" t="inlineStr">
        <is>
          <t>DOCUMENT</t>
        </is>
      </c>
    </row>
    <row r="863">
      <c r="A863" s="149" t="inlineStr">
        <is>
          <t>Project Notos</t>
        </is>
      </c>
      <c r="B863" s="149" t="inlineStr">
        <is>
          <t>3.3.2</t>
        </is>
      </c>
      <c r="C863" s="149" t="inlineStr">
        <is>
          <t>CIT</t>
        </is>
      </c>
      <c r="D863" s="149" t="inlineStr"/>
      <c r="E863" s="149" t="inlineStr">
        <is>
          <t>FOLDER</t>
        </is>
      </c>
    </row>
    <row r="864">
      <c r="A864" t="inlineStr">
        <is>
          <t>Project Notos</t>
        </is>
      </c>
      <c r="B864" t="inlineStr">
        <is>
          <t>3.3.2.1</t>
        </is>
      </c>
      <c r="C864" t="inlineStr"/>
      <c r="D864" t="inlineStr">
        <is>
          <t>K1 2023</t>
        </is>
      </c>
      <c r="E864" t="inlineStr">
        <is>
          <t>DOCUMENT</t>
        </is>
      </c>
    </row>
    <row r="865">
      <c r="A865" t="inlineStr">
        <is>
          <t>Project Notos</t>
        </is>
      </c>
      <c r="B865" t="inlineStr">
        <is>
          <t>3.3.2.2</t>
        </is>
      </c>
      <c r="C865" t="inlineStr"/>
      <c r="D865" t="inlineStr">
        <is>
          <t>K1 2024</t>
        </is>
      </c>
      <c r="E865" t="inlineStr">
        <is>
          <t>DOCUMENT</t>
        </is>
      </c>
    </row>
    <row r="866">
      <c r="A866" t="inlineStr">
        <is>
          <t>Project Notos</t>
        </is>
      </c>
      <c r="B866" t="inlineStr">
        <is>
          <t>3.3.2.3</t>
        </is>
      </c>
      <c r="C866" t="inlineStr"/>
      <c r="D866" t="inlineStr">
        <is>
          <t>RF MWR 2023</t>
        </is>
      </c>
      <c r="E866" t="inlineStr">
        <is>
          <t>DOCUMENT</t>
        </is>
      </c>
    </row>
    <row r="867">
      <c r="A867" t="inlineStr">
        <is>
          <t>Project Notos</t>
        </is>
      </c>
      <c r="B867" t="inlineStr">
        <is>
          <t>3.3.2.4</t>
        </is>
      </c>
      <c r="C867" t="inlineStr"/>
      <c r="D867" t="inlineStr">
        <is>
          <t>RF MWR 2024</t>
        </is>
      </c>
      <c r="E867" t="inlineStr">
        <is>
          <t>DOCUMENT</t>
        </is>
      </c>
    </row>
    <row r="868">
      <c r="A868" t="inlineStr">
        <is>
          <t>Project Notos</t>
        </is>
      </c>
      <c r="B868" t="inlineStr">
        <is>
          <t>3.3.2.5</t>
        </is>
      </c>
      <c r="C868" t="inlineStr"/>
      <c r="D868" t="inlineStr">
        <is>
          <t>Evi Konto per 31.12.2025</t>
        </is>
      </c>
      <c r="E868" t="inlineStr">
        <is>
          <t>DOCUMENT</t>
        </is>
      </c>
    </row>
    <row r="869">
      <c r="A869" s="149" t="inlineStr">
        <is>
          <t>Project Notos</t>
        </is>
      </c>
      <c r="B869" s="149" t="inlineStr">
        <is>
          <t>3.3.3</t>
        </is>
      </c>
      <c r="C869" s="149" t="inlineStr">
        <is>
          <t>VAT</t>
        </is>
      </c>
      <c r="D869" s="149" t="inlineStr"/>
      <c r="E869" s="149" t="inlineStr">
        <is>
          <t>FOLDER</t>
        </is>
      </c>
    </row>
    <row r="870">
      <c r="A870" t="inlineStr">
        <is>
          <t>Project Notos</t>
        </is>
      </c>
      <c r="B870" t="inlineStr">
        <is>
          <t>3.3.3.1</t>
        </is>
      </c>
      <c r="C870" t="inlineStr"/>
      <c r="D870" t="inlineStr">
        <is>
          <t>U1 2023</t>
        </is>
      </c>
      <c r="E870" t="inlineStr">
        <is>
          <t>DOCUMENT</t>
        </is>
      </c>
    </row>
    <row r="871">
      <c r="A871" t="inlineStr">
        <is>
          <t>Project Notos</t>
        </is>
      </c>
      <c r="B871" t="inlineStr">
        <is>
          <t>3.3.3.2</t>
        </is>
      </c>
      <c r="C871" t="inlineStr"/>
      <c r="D871" t="inlineStr">
        <is>
          <t>U1 2024</t>
        </is>
      </c>
      <c r="E871" t="inlineStr">
        <is>
          <t>DOCUMENT</t>
        </is>
      </c>
    </row>
    <row r="872">
      <c r="A872" s="149" t="inlineStr">
        <is>
          <t>Project Notos</t>
        </is>
      </c>
      <c r="B872" s="149" t="inlineStr">
        <is>
          <t>3.3.4</t>
        </is>
      </c>
      <c r="C872" s="149" t="inlineStr">
        <is>
          <t>Assessment notices</t>
        </is>
      </c>
      <c r="D872" s="149" t="inlineStr"/>
      <c r="E872" s="149" t="inlineStr">
        <is>
          <t>FOLDER</t>
        </is>
      </c>
    </row>
    <row r="873">
      <c r="A873" t="inlineStr">
        <is>
          <t>Project Notos</t>
        </is>
      </c>
      <c r="B873" t="inlineStr">
        <is>
          <t>3.3.4.1</t>
        </is>
      </c>
      <c r="C873" t="inlineStr"/>
      <c r="D873" t="inlineStr">
        <is>
          <t>KÖST Bescheid 2023</t>
        </is>
      </c>
      <c r="E873" t="inlineStr">
        <is>
          <t>DOCUMENT</t>
        </is>
      </c>
    </row>
    <row r="874">
      <c r="A874" t="inlineStr">
        <is>
          <t>Project Notos</t>
        </is>
      </c>
      <c r="B874" t="inlineStr">
        <is>
          <t>3.3.4.2</t>
        </is>
      </c>
      <c r="C874" t="inlineStr"/>
      <c r="D874" t="inlineStr">
        <is>
          <t>20250410_Umsatzsteuerbescheid 2023_RF</t>
        </is>
      </c>
      <c r="E874" t="inlineStr">
        <is>
          <t>DOCUMENT</t>
        </is>
      </c>
    </row>
    <row r="875">
      <c r="A875" s="149" t="inlineStr">
        <is>
          <t>Project Notos</t>
        </is>
      </c>
      <c r="B875" s="149" t="inlineStr">
        <is>
          <t>3.3.5</t>
        </is>
      </c>
      <c r="C875" s="149" t="inlineStr">
        <is>
          <t>TLCF</t>
        </is>
      </c>
      <c r="D875" s="149" t="inlineStr"/>
      <c r="E875" s="149" t="inlineStr">
        <is>
          <t>FOLDER</t>
        </is>
      </c>
    </row>
    <row r="876">
      <c r="A876" t="inlineStr">
        <is>
          <t>Project Notos</t>
        </is>
      </c>
      <c r="B876" t="inlineStr">
        <is>
          <t>3.3.5.1</t>
        </is>
      </c>
      <c r="C876" t="inlineStr"/>
      <c r="D876" t="inlineStr">
        <is>
          <t>Übersicht der steuerlichen Verlustvorträge</t>
        </is>
      </c>
      <c r="E876" t="inlineStr">
        <is>
          <t>DOCUMENT</t>
        </is>
      </c>
    </row>
    <row r="877">
      <c r="A877" s="149" t="inlineStr">
        <is>
          <t>Project Notos</t>
        </is>
      </c>
      <c r="B877" s="149" t="inlineStr">
        <is>
          <t>3.3.6</t>
        </is>
      </c>
      <c r="C877" s="149" t="inlineStr">
        <is>
          <t>Tax audits</t>
        </is>
      </c>
      <c r="D877" s="149" t="inlineStr"/>
      <c r="E877" s="149" t="inlineStr">
        <is>
          <t>FOLDER</t>
        </is>
      </c>
    </row>
    <row r="878">
      <c r="A878" t="inlineStr">
        <is>
          <t>Project Notos</t>
        </is>
      </c>
      <c r="B878" t="inlineStr">
        <is>
          <t>3.3.6.1</t>
        </is>
      </c>
      <c r="C878" t="inlineStr"/>
      <c r="D878" t="inlineStr">
        <is>
          <t>Bescheid BPBERI  für RUPERT FERTINGER GESMBH</t>
        </is>
      </c>
      <c r="E878" t="inlineStr">
        <is>
          <t>DOCUMENT</t>
        </is>
      </c>
    </row>
    <row r="879">
      <c r="A879" s="149" t="inlineStr">
        <is>
          <t>Project Notos</t>
        </is>
      </c>
      <c r="B879" s="149" t="inlineStr">
        <is>
          <t>3.3.7</t>
        </is>
      </c>
      <c r="C879" s="149" t="inlineStr">
        <is>
          <t>CIT group</t>
        </is>
      </c>
      <c r="D879" s="149" t="inlineStr"/>
      <c r="E879" s="149" t="inlineStr">
        <is>
          <t>FOLDER</t>
        </is>
      </c>
    </row>
    <row r="880">
      <c r="A880" t="inlineStr">
        <is>
          <t>Project Notos</t>
        </is>
      </c>
      <c r="B880" t="inlineStr">
        <is>
          <t>3.3.7.1</t>
        </is>
      </c>
      <c r="C880" t="inlineStr"/>
      <c r="D880" t="inlineStr">
        <is>
          <t>250205_Gruppenfeststellungsbescheid 2024_RF</t>
        </is>
      </c>
      <c r="E880" t="inlineStr">
        <is>
          <t>DOCUMENT</t>
        </is>
      </c>
    </row>
    <row r="881">
      <c r="A881" t="inlineStr">
        <is>
          <t>Project Notos</t>
        </is>
      </c>
      <c r="B881" t="inlineStr">
        <is>
          <t>3.3.7.2</t>
        </is>
      </c>
      <c r="C881" t="inlineStr"/>
      <c r="D881" t="inlineStr">
        <is>
          <t>Organschaft_Gruppenbesteuerung</t>
        </is>
      </c>
      <c r="E881" t="inlineStr">
        <is>
          <t>DOCUMENT</t>
        </is>
      </c>
    </row>
    <row r="882">
      <c r="A882" s="149" t="inlineStr">
        <is>
          <t>Project Notos</t>
        </is>
      </c>
      <c r="B882" s="149" t="inlineStr">
        <is>
          <t>3.3.8</t>
        </is>
      </c>
      <c r="C882" s="149" t="inlineStr">
        <is>
          <t>Other</t>
        </is>
      </c>
      <c r="D882" s="149" t="inlineStr"/>
      <c r="E882" s="149" t="inlineStr">
        <is>
          <t>FOLDER</t>
        </is>
      </c>
    </row>
    <row r="883">
      <c r="A883" s="149" t="inlineStr">
        <is>
          <t>Project Notos</t>
        </is>
      </c>
      <c r="B883" s="149" t="inlineStr">
        <is>
          <t>3.3.8.1</t>
        </is>
      </c>
      <c r="C883" s="149" t="inlineStr">
        <is>
          <t>WiEReG</t>
        </is>
      </c>
      <c r="D883" s="149" t="inlineStr"/>
      <c r="E883" s="149" t="inlineStr">
        <is>
          <t>FOLDER</t>
        </is>
      </c>
    </row>
    <row r="884">
      <c r="A884" t="inlineStr">
        <is>
          <t>Project Notos</t>
        </is>
      </c>
      <c r="B884" t="inlineStr">
        <is>
          <t>3.3.8.1.1</t>
        </is>
      </c>
      <c r="C884" t="inlineStr"/>
      <c r="D884" t="inlineStr">
        <is>
          <t>WiEReG-Meldung_RF_2026</t>
        </is>
      </c>
      <c r="E884" t="inlineStr">
        <is>
          <t>DOCUMENT</t>
        </is>
      </c>
    </row>
    <row r="885">
      <c r="A885" s="149" t="inlineStr">
        <is>
          <t>Project Notos</t>
        </is>
      </c>
      <c r="B885" s="149" t="inlineStr">
        <is>
          <t>3.4</t>
        </is>
      </c>
      <c r="C885" s="149" t="inlineStr">
        <is>
          <t>Fertinger Tubes (FT)</t>
        </is>
      </c>
      <c r="D885" s="149" t="inlineStr"/>
      <c r="E885" s="149" t="inlineStr">
        <is>
          <t>FOLDER</t>
        </is>
      </c>
    </row>
    <row r="886">
      <c r="A886" t="inlineStr">
        <is>
          <t>Project Notos</t>
        </is>
      </c>
      <c r="B886" t="inlineStr">
        <is>
          <t>3.4.1</t>
        </is>
      </c>
      <c r="C886" t="inlineStr"/>
      <c r="D886" t="inlineStr">
        <is>
          <t>FT_Auszug aus der Betriebskartei 30.03.2026</t>
        </is>
      </c>
      <c r="E886" t="inlineStr">
        <is>
          <t>DOCUMENT</t>
        </is>
      </c>
    </row>
    <row r="887">
      <c r="A887" s="149" t="inlineStr">
        <is>
          <t>Project Notos</t>
        </is>
      </c>
      <c r="B887" s="149" t="inlineStr">
        <is>
          <t>3.4.2</t>
        </is>
      </c>
      <c r="C887" s="149" t="inlineStr">
        <is>
          <t>CIT</t>
        </is>
      </c>
      <c r="D887" s="149" t="inlineStr"/>
      <c r="E887" s="149" t="inlineStr">
        <is>
          <t>FOLDER</t>
        </is>
      </c>
    </row>
    <row r="888">
      <c r="A888" s="149" t="inlineStr">
        <is>
          <t>Project Notos</t>
        </is>
      </c>
      <c r="B888" s="149" t="inlineStr">
        <is>
          <t>3.4.2.1</t>
        </is>
      </c>
      <c r="C888" s="149" t="inlineStr">
        <is>
          <t>2023</t>
        </is>
      </c>
      <c r="D888" s="149" t="inlineStr"/>
      <c r="E888" s="149" t="inlineStr">
        <is>
          <t>FOLDER</t>
        </is>
      </c>
    </row>
    <row r="889">
      <c r="A889" t="inlineStr">
        <is>
          <t>Project Notos</t>
        </is>
      </c>
      <c r="B889" t="inlineStr">
        <is>
          <t>3.4.2.1.1</t>
        </is>
      </c>
      <c r="C889" t="inlineStr"/>
      <c r="D889" t="inlineStr">
        <is>
          <t>592722 - KSt-Erklärung 2023</t>
        </is>
      </c>
      <c r="E889" t="inlineStr">
        <is>
          <t>DOCUMENT</t>
        </is>
      </c>
    </row>
    <row r="890">
      <c r="A890" t="inlineStr">
        <is>
          <t>Project Notos</t>
        </is>
      </c>
      <c r="B890" t="inlineStr">
        <is>
          <t>3.4.2.1.2</t>
        </is>
      </c>
      <c r="C890" t="inlineStr"/>
      <c r="D890" t="inlineStr">
        <is>
          <t>637651 - Bescheid Ges. Feststellung Besteuerungsgrundlagen 2023 vom 18.03.2025</t>
        </is>
      </c>
      <c r="E890" t="inlineStr">
        <is>
          <t>DOCUMENT</t>
        </is>
      </c>
    </row>
    <row r="891">
      <c r="A891" t="inlineStr">
        <is>
          <t>Project Notos</t>
        </is>
      </c>
      <c r="B891" t="inlineStr">
        <is>
          <t>3.4.2.1.3</t>
        </is>
      </c>
      <c r="C891" t="inlineStr"/>
      <c r="D891" t="inlineStr">
        <is>
          <t>637668 - KSt-Bescheid 2023 vom 18.03.2025</t>
        </is>
      </c>
      <c r="E891" t="inlineStr">
        <is>
          <t>DOCUMENT</t>
        </is>
      </c>
    </row>
    <row r="892">
      <c r="A892" t="inlineStr">
        <is>
          <t>Project Notos</t>
        </is>
      </c>
      <c r="B892" t="inlineStr">
        <is>
          <t>3.4.2.1.4</t>
        </is>
      </c>
      <c r="C892" t="inlineStr"/>
      <c r="D892" t="inlineStr">
        <is>
          <t>637672 - KSt-Verlustvortrag-Bescheid 2023 vom 18.03.2025</t>
        </is>
      </c>
      <c r="E892" t="inlineStr">
        <is>
          <t>DOCUMENT</t>
        </is>
      </c>
    </row>
    <row r="893">
      <c r="A893" s="149" t="inlineStr">
        <is>
          <t>Project Notos</t>
        </is>
      </c>
      <c r="B893" s="149" t="inlineStr">
        <is>
          <t>3.4.2.2</t>
        </is>
      </c>
      <c r="C893" s="149" t="inlineStr">
        <is>
          <t>2024</t>
        </is>
      </c>
      <c r="D893" s="149" t="inlineStr"/>
      <c r="E893" s="149" t="inlineStr">
        <is>
          <t>FOLDER</t>
        </is>
      </c>
    </row>
    <row r="894">
      <c r="A894" t="inlineStr">
        <is>
          <t>Project Notos</t>
        </is>
      </c>
      <c r="B894" t="inlineStr">
        <is>
          <t>3.4.2.2.1</t>
        </is>
      </c>
      <c r="C894" t="inlineStr"/>
      <c r="D894" t="inlineStr">
        <is>
          <t xml:space="preserve">677004 - KSt-Erklärung 2024 </t>
        </is>
      </c>
      <c r="E894" t="inlineStr">
        <is>
          <t>DOCUMENT</t>
        </is>
      </c>
    </row>
    <row r="895">
      <c r="A895" s="149" t="inlineStr">
        <is>
          <t>Project Notos</t>
        </is>
      </c>
      <c r="B895" s="149" t="inlineStr">
        <is>
          <t>3.4.3</t>
        </is>
      </c>
      <c r="C895" s="149" t="inlineStr">
        <is>
          <t>Trade Tax</t>
        </is>
      </c>
      <c r="D895" s="149" t="inlineStr"/>
      <c r="E895" s="149" t="inlineStr">
        <is>
          <t>FOLDER</t>
        </is>
      </c>
    </row>
    <row r="896">
      <c r="A896" s="149" t="inlineStr">
        <is>
          <t>Project Notos</t>
        </is>
      </c>
      <c r="B896" s="149" t="inlineStr">
        <is>
          <t>3.4.3.1</t>
        </is>
      </c>
      <c r="C896" s="149" t="inlineStr">
        <is>
          <t>2023</t>
        </is>
      </c>
      <c r="D896" s="149" t="inlineStr"/>
      <c r="E896" s="149" t="inlineStr">
        <is>
          <t>FOLDER</t>
        </is>
      </c>
    </row>
    <row r="897">
      <c r="A897" t="inlineStr">
        <is>
          <t>Project Notos</t>
        </is>
      </c>
      <c r="B897" t="inlineStr">
        <is>
          <t>3.4.3.1.1</t>
        </is>
      </c>
      <c r="C897" t="inlineStr"/>
      <c r="D897" t="inlineStr">
        <is>
          <t>637663 - GewSt-Verlustvortrag-Bescheid 2023 vom 18.03.2025</t>
        </is>
      </c>
      <c r="E897" t="inlineStr">
        <is>
          <t>DOCUMENT</t>
        </is>
      </c>
    </row>
    <row r="898">
      <c r="A898" t="inlineStr">
        <is>
          <t>Project Notos</t>
        </is>
      </c>
      <c r="B898" t="inlineStr">
        <is>
          <t>3.4.3.1.2</t>
        </is>
      </c>
      <c r="C898" t="inlineStr"/>
      <c r="D898" t="inlineStr">
        <is>
          <t>637673 - GewSt-Mess-Bescheid 2023 vom 18.03.2025</t>
        </is>
      </c>
      <c r="E898" t="inlineStr">
        <is>
          <t>DOCUMENT</t>
        </is>
      </c>
    </row>
    <row r="899">
      <c r="A899" t="inlineStr">
        <is>
          <t>Project Notos</t>
        </is>
      </c>
      <c r="B899" t="inlineStr">
        <is>
          <t>3.4.3.1.3</t>
        </is>
      </c>
      <c r="C899" t="inlineStr"/>
      <c r="D899" t="inlineStr">
        <is>
          <t>GewSt1A_2023</t>
        </is>
      </c>
      <c r="E899" t="inlineStr">
        <is>
          <t>DOCUMENT</t>
        </is>
      </c>
    </row>
    <row r="900">
      <c r="A900" s="149" t="inlineStr">
        <is>
          <t>Project Notos</t>
        </is>
      </c>
      <c r="B900" s="149" t="inlineStr">
        <is>
          <t>3.4.3.2</t>
        </is>
      </c>
      <c r="C900" s="149" t="inlineStr">
        <is>
          <t>2024</t>
        </is>
      </c>
      <c r="D900" s="149" t="inlineStr"/>
      <c r="E900" s="149" t="inlineStr">
        <is>
          <t>FOLDER</t>
        </is>
      </c>
    </row>
    <row r="901">
      <c r="A901" t="inlineStr">
        <is>
          <t>Project Notos</t>
        </is>
      </c>
      <c r="B901" t="inlineStr">
        <is>
          <t>3.4.3.2.1</t>
        </is>
      </c>
      <c r="C901" t="inlineStr"/>
      <c r="D901" t="inlineStr">
        <is>
          <t>GewSt1A_2024</t>
        </is>
      </c>
      <c r="E901" t="inlineStr">
        <is>
          <t>DOCUMENT</t>
        </is>
      </c>
    </row>
    <row r="902">
      <c r="A902" s="149" t="inlineStr">
        <is>
          <t>Project Notos</t>
        </is>
      </c>
      <c r="B902" s="149" t="inlineStr">
        <is>
          <t>3.4.4</t>
        </is>
      </c>
      <c r="C902" s="149" t="inlineStr">
        <is>
          <t>VAT</t>
        </is>
      </c>
      <c r="D902" s="149" t="inlineStr"/>
      <c r="E902" s="149" t="inlineStr">
        <is>
          <t>FOLDER</t>
        </is>
      </c>
    </row>
    <row r="903">
      <c r="A903" s="149" t="inlineStr">
        <is>
          <t>Project Notos</t>
        </is>
      </c>
      <c r="B903" s="149" t="inlineStr">
        <is>
          <t>3.4.4.1</t>
        </is>
      </c>
      <c r="C903" s="149" t="inlineStr">
        <is>
          <t>2023</t>
        </is>
      </c>
      <c r="D903" s="149" t="inlineStr"/>
      <c r="E903" s="149" t="inlineStr">
        <is>
          <t>FOLDER</t>
        </is>
      </c>
    </row>
    <row r="904">
      <c r="A904" t="inlineStr">
        <is>
          <t>Project Notos</t>
        </is>
      </c>
      <c r="B904" t="inlineStr">
        <is>
          <t>3.4.4.1.1</t>
        </is>
      </c>
      <c r="C904" t="inlineStr"/>
      <c r="D904" t="inlineStr">
        <is>
          <t>592724 - USt-Erklärung 2023_</t>
        </is>
      </c>
      <c r="E904" t="inlineStr">
        <is>
          <t>DOCUMENT</t>
        </is>
      </c>
    </row>
    <row r="905">
      <c r="A905" t="inlineStr">
        <is>
          <t>Project Notos</t>
        </is>
      </c>
      <c r="B905" t="inlineStr">
        <is>
          <t>3.4.4.1.2</t>
        </is>
      </c>
      <c r="C905" t="inlineStr"/>
      <c r="D905" t="inlineStr">
        <is>
          <t>599459 - USt-Mitteilung 2023_</t>
        </is>
      </c>
      <c r="E905" t="inlineStr">
        <is>
          <t>DOCUMENT</t>
        </is>
      </c>
    </row>
    <row r="906">
      <c r="A906" s="149" t="inlineStr">
        <is>
          <t>Project Notos</t>
        </is>
      </c>
      <c r="B906" s="149" t="inlineStr">
        <is>
          <t>3.4.4.2</t>
        </is>
      </c>
      <c r="C906" s="149" t="inlineStr">
        <is>
          <t>2024</t>
        </is>
      </c>
      <c r="D906" s="149" t="inlineStr"/>
      <c r="E906" s="149" t="inlineStr">
        <is>
          <t>FOLDER</t>
        </is>
      </c>
    </row>
    <row r="907">
      <c r="A907" t="inlineStr">
        <is>
          <t>Project Notos</t>
        </is>
      </c>
      <c r="B907" t="inlineStr">
        <is>
          <t>3.4.4.2.1</t>
        </is>
      </c>
      <c r="C907" t="inlineStr"/>
      <c r="D907" t="inlineStr">
        <is>
          <t>677006 - USt-Erklärung 2024</t>
        </is>
      </c>
      <c r="E907" t="inlineStr">
        <is>
          <t>DOCUMENT</t>
        </is>
      </c>
    </row>
    <row r="908">
      <c r="A908" t="inlineStr">
        <is>
          <t>Project Notos</t>
        </is>
      </c>
      <c r="B908" t="inlineStr">
        <is>
          <t>3.4.4.2.2</t>
        </is>
      </c>
      <c r="C908" t="inlineStr"/>
      <c r="D908" t="inlineStr">
        <is>
          <t xml:space="preserve">699873 - USt-Mitteilung 2024 </t>
        </is>
      </c>
      <c r="E908" t="inlineStr">
        <is>
          <t>DOCUMENT</t>
        </is>
      </c>
    </row>
    <row r="909">
      <c r="A909" s="149" t="inlineStr">
        <is>
          <t>Project Notos</t>
        </is>
      </c>
      <c r="B909" s="149" t="inlineStr">
        <is>
          <t>3.4.5</t>
        </is>
      </c>
      <c r="C909" s="149" t="inlineStr">
        <is>
          <t>Tax audits</t>
        </is>
      </c>
      <c r="D909" s="149" t="inlineStr"/>
      <c r="E909" s="149" t="inlineStr">
        <is>
          <t>FOLDER</t>
        </is>
      </c>
    </row>
    <row r="910">
      <c r="A910" t="inlineStr">
        <is>
          <t>Project Notos</t>
        </is>
      </c>
      <c r="B910" t="inlineStr">
        <is>
          <t>3.4.5.1</t>
        </is>
      </c>
      <c r="C910" t="inlineStr"/>
      <c r="D910" t="inlineStr">
        <is>
          <t>600911 - Bescheid Lohnsteueraußenprüfung vom 18.07.2024</t>
        </is>
      </c>
      <c r="E910" t="inlineStr">
        <is>
          <t>DOCUMENT</t>
        </is>
      </c>
    </row>
    <row r="911">
      <c r="A911" t="inlineStr">
        <is>
          <t>Project Notos</t>
        </is>
      </c>
      <c r="B911" t="inlineStr">
        <is>
          <t>3.4.5.2</t>
        </is>
      </c>
      <c r="C911" t="inlineStr"/>
      <c r="D911" t="inlineStr">
        <is>
          <t>BP-Bericht 31_08_2020 (2014-2016)</t>
        </is>
      </c>
      <c r="E911" t="inlineStr">
        <is>
          <t>DOCUMENT</t>
        </is>
      </c>
    </row>
    <row r="912">
      <c r="A912" s="149" t="inlineStr">
        <is>
          <t>Project Notos</t>
        </is>
      </c>
      <c r="B912" s="149" t="inlineStr">
        <is>
          <t>3.5</t>
        </is>
      </c>
      <c r="C912" s="149" t="inlineStr">
        <is>
          <t>Innerio Group GmbH (IG)</t>
        </is>
      </c>
      <c r="D912" s="149" t="inlineStr"/>
      <c r="E912" s="149" t="inlineStr">
        <is>
          <t>FOLDER</t>
        </is>
      </c>
    </row>
    <row r="913">
      <c r="A913" s="149" t="inlineStr">
        <is>
          <t>Project Notos</t>
        </is>
      </c>
      <c r="B913" s="149" t="inlineStr">
        <is>
          <t>3.5.1</t>
        </is>
      </c>
      <c r="C913" s="149" t="inlineStr">
        <is>
          <t>Tax compliance</t>
        </is>
      </c>
      <c r="D913" s="149" t="inlineStr"/>
      <c r="E913" s="149" t="inlineStr">
        <is>
          <t>FOLDER</t>
        </is>
      </c>
    </row>
    <row r="914">
      <c r="A914" t="inlineStr">
        <is>
          <t>Project Notos</t>
        </is>
      </c>
      <c r="B914" t="inlineStr">
        <is>
          <t>3.5.1.1</t>
        </is>
      </c>
      <c r="C914" t="inlineStr"/>
      <c r="D914" t="inlineStr">
        <is>
          <t>260408_Overview Tax</t>
        </is>
      </c>
      <c r="E914" t="inlineStr">
        <is>
          <t>DOCUMENT</t>
        </is>
      </c>
    </row>
    <row r="915">
      <c r="A915" t="inlineStr">
        <is>
          <t>Project Notos</t>
        </is>
      </c>
      <c r="B915" t="inlineStr">
        <is>
          <t>3.5.1.2</t>
        </is>
      </c>
      <c r="C915" t="inlineStr"/>
      <c r="D915" t="inlineStr">
        <is>
          <t>IG Finanzamt 8.4.26</t>
        </is>
      </c>
      <c r="E915" t="inlineStr">
        <is>
          <t>DOCUMENT</t>
        </is>
      </c>
    </row>
    <row r="916">
      <c r="A916" s="149" t="inlineStr">
        <is>
          <t>Project Notos</t>
        </is>
      </c>
      <c r="B916" s="149" t="inlineStr">
        <is>
          <t>3.5.2</t>
        </is>
      </c>
      <c r="C916" s="149" t="inlineStr">
        <is>
          <t>CIT</t>
        </is>
      </c>
      <c r="D916" s="149" t="inlineStr"/>
      <c r="E916" s="149" t="inlineStr">
        <is>
          <t>FOLDER</t>
        </is>
      </c>
    </row>
    <row r="917">
      <c r="A917" t="inlineStr">
        <is>
          <t>Project Notos</t>
        </is>
      </c>
      <c r="B917" t="inlineStr">
        <is>
          <t>3.5.2.1</t>
        </is>
      </c>
      <c r="C917" t="inlineStr"/>
      <c r="D917" t="inlineStr">
        <is>
          <t>K1 2024_vorläufig</t>
        </is>
      </c>
      <c r="E917" t="inlineStr">
        <is>
          <t>DOCUMENT</t>
        </is>
      </c>
    </row>
    <row r="918">
      <c r="A918" t="inlineStr">
        <is>
          <t>Project Notos</t>
        </is>
      </c>
      <c r="B918" t="inlineStr">
        <is>
          <t>3.5.2.2</t>
        </is>
      </c>
      <c r="C918" t="inlineStr"/>
      <c r="D918" t="inlineStr">
        <is>
          <t>K1 2023</t>
        </is>
      </c>
      <c r="E918" t="inlineStr">
        <is>
          <t>DOCUMENT</t>
        </is>
      </c>
    </row>
    <row r="919">
      <c r="A919" t="inlineStr">
        <is>
          <t>Project Notos</t>
        </is>
      </c>
      <c r="B919" t="inlineStr">
        <is>
          <t>3.5.2.3</t>
        </is>
      </c>
      <c r="C919" t="inlineStr"/>
      <c r="D919" t="inlineStr">
        <is>
          <t>MWR 20-24</t>
        </is>
      </c>
      <c r="E919" t="inlineStr">
        <is>
          <t>DOCUMENT</t>
        </is>
      </c>
    </row>
    <row r="920">
      <c r="A920" t="inlineStr">
        <is>
          <t>Project Notos</t>
        </is>
      </c>
      <c r="B920" t="inlineStr">
        <is>
          <t>3.5.2.4</t>
        </is>
      </c>
      <c r="C920" t="inlineStr"/>
      <c r="D920" t="inlineStr">
        <is>
          <t>Evi Konto 31.12.2024</t>
        </is>
      </c>
      <c r="E920" t="inlineStr">
        <is>
          <t>DOCUMENT</t>
        </is>
      </c>
    </row>
    <row r="921">
      <c r="A921" s="149" t="inlineStr">
        <is>
          <t>Project Notos</t>
        </is>
      </c>
      <c r="B921" s="149" t="inlineStr">
        <is>
          <t>3.5.3</t>
        </is>
      </c>
      <c r="C921" s="149" t="inlineStr">
        <is>
          <t>VAT</t>
        </is>
      </c>
      <c r="D921" s="149" t="inlineStr"/>
      <c r="E921" s="149" t="inlineStr">
        <is>
          <t>FOLDER</t>
        </is>
      </c>
    </row>
    <row r="922">
      <c r="A922" t="inlineStr">
        <is>
          <t>Project Notos</t>
        </is>
      </c>
      <c r="B922" t="inlineStr">
        <is>
          <t>3.5.3.1</t>
        </is>
      </c>
      <c r="C922" t="inlineStr"/>
      <c r="D922" t="inlineStr">
        <is>
          <t>U1 2023</t>
        </is>
      </c>
      <c r="E922" t="inlineStr">
        <is>
          <t>DOCUMENT</t>
        </is>
      </c>
    </row>
    <row r="923">
      <c r="A923" t="inlineStr">
        <is>
          <t>Project Notos</t>
        </is>
      </c>
      <c r="B923" t="inlineStr">
        <is>
          <t>3.5.3.2</t>
        </is>
      </c>
      <c r="C923" t="inlineStr"/>
      <c r="D923" t="inlineStr">
        <is>
          <t>U1 2024_vorläufig</t>
        </is>
      </c>
      <c r="E923" t="inlineStr">
        <is>
          <t>DOCUMENT</t>
        </is>
      </c>
    </row>
    <row r="924">
      <c r="A924" s="149" t="inlineStr">
        <is>
          <t>Project Notos</t>
        </is>
      </c>
      <c r="B924" s="149" t="inlineStr">
        <is>
          <t>3.5.4</t>
        </is>
      </c>
      <c r="C924" s="149" t="inlineStr">
        <is>
          <t>Assessment notices</t>
        </is>
      </c>
      <c r="D924" s="149" t="inlineStr"/>
      <c r="E924" s="149" t="inlineStr">
        <is>
          <t>FOLDER</t>
        </is>
      </c>
    </row>
    <row r="925">
      <c r="A925" t="inlineStr">
        <is>
          <t>Project Notos</t>
        </is>
      </c>
      <c r="B925" t="inlineStr">
        <is>
          <t>3.5.4.1</t>
        </is>
      </c>
      <c r="C925" t="inlineStr"/>
      <c r="D925" t="inlineStr">
        <is>
          <t>KÖST Bescheid 2023</t>
        </is>
      </c>
      <c r="E925" t="inlineStr">
        <is>
          <t>DOCUMENT</t>
        </is>
      </c>
    </row>
    <row r="926">
      <c r="A926" t="inlineStr">
        <is>
          <t>Project Notos</t>
        </is>
      </c>
      <c r="B926" t="inlineStr">
        <is>
          <t>3.5.4.2</t>
        </is>
      </c>
      <c r="C926" t="inlineStr"/>
      <c r="D926" t="inlineStr">
        <is>
          <t>250321_Umsatzsteuerbescheid 2023_IG</t>
        </is>
      </c>
      <c r="E926" t="inlineStr">
        <is>
          <t>DOCUMENT</t>
        </is>
      </c>
    </row>
    <row r="927">
      <c r="A927" s="149" t="inlineStr">
        <is>
          <t>Project Notos</t>
        </is>
      </c>
      <c r="B927" s="149" t="inlineStr">
        <is>
          <t>3.5.5</t>
        </is>
      </c>
      <c r="C927" s="149" t="inlineStr">
        <is>
          <t>TLCF</t>
        </is>
      </c>
      <c r="D927" s="149" t="inlineStr"/>
      <c r="E927" s="149" t="inlineStr">
        <is>
          <t>FOLDER</t>
        </is>
      </c>
    </row>
    <row r="928">
      <c r="A928" t="inlineStr">
        <is>
          <t>Project Notos</t>
        </is>
      </c>
      <c r="B928" t="inlineStr">
        <is>
          <t>3.5.5.1</t>
        </is>
      </c>
      <c r="C928" t="inlineStr"/>
      <c r="D928" t="inlineStr">
        <is>
          <t>Übersicher Verlustvorträge 2019-2023</t>
        </is>
      </c>
      <c r="E928" t="inlineStr">
        <is>
          <t>DOCUMENT</t>
        </is>
      </c>
    </row>
    <row r="929">
      <c r="A929" s="149" t="inlineStr">
        <is>
          <t>Project Notos</t>
        </is>
      </c>
      <c r="B929" s="149" t="inlineStr">
        <is>
          <t>3.5.6</t>
        </is>
      </c>
      <c r="C929" s="149" t="inlineStr">
        <is>
          <t>Tax audits</t>
        </is>
      </c>
      <c r="D929" s="149" t="inlineStr"/>
      <c r="E929" s="149" t="inlineStr">
        <is>
          <t>FOLDER</t>
        </is>
      </c>
    </row>
    <row r="930">
      <c r="A930" t="inlineStr">
        <is>
          <t>Project Notos</t>
        </is>
      </c>
      <c r="B930" t="inlineStr">
        <is>
          <t>3.5.6.1</t>
        </is>
      </c>
      <c r="C930" t="inlineStr"/>
      <c r="D930" t="inlineStr">
        <is>
          <t>Bericht USO 06-122021 - keine Feststellungen</t>
        </is>
      </c>
      <c r="E930" t="inlineStr">
        <is>
          <t>DOCUMENT</t>
        </is>
      </c>
    </row>
    <row r="931">
      <c r="A931" s="149" t="inlineStr">
        <is>
          <t>Project Notos</t>
        </is>
      </c>
      <c r="B931" s="149" t="inlineStr">
        <is>
          <t>3.5.7</t>
        </is>
      </c>
      <c r="C931" s="149" t="inlineStr">
        <is>
          <t>CIT group</t>
        </is>
      </c>
      <c r="D931" s="149" t="inlineStr"/>
      <c r="E931" s="149" t="inlineStr">
        <is>
          <t>FOLDER</t>
        </is>
      </c>
    </row>
    <row r="932">
      <c r="A932" t="inlineStr">
        <is>
          <t>Project Notos</t>
        </is>
      </c>
      <c r="B932" t="inlineStr">
        <is>
          <t>3.5.7.1</t>
        </is>
      </c>
      <c r="C932" t="inlineStr"/>
      <c r="D932" t="inlineStr">
        <is>
          <t>Gruppensteuervertrag_INNERIO Group_IIM_IHE_2024</t>
        </is>
      </c>
      <c r="E932" t="inlineStr">
        <is>
          <t>DOCUMENT</t>
        </is>
      </c>
    </row>
    <row r="933">
      <c r="A933" t="inlineStr">
        <is>
          <t>Project Notos</t>
        </is>
      </c>
      <c r="B933" t="inlineStr">
        <is>
          <t>3.5.7.2</t>
        </is>
      </c>
      <c r="C933" t="inlineStr"/>
      <c r="D933" t="inlineStr">
        <is>
          <t>250205_Gruppenfeststellungsbescheid 2024_IG</t>
        </is>
      </c>
      <c r="E933" t="inlineStr">
        <is>
          <t>DOCUMENT</t>
        </is>
      </c>
    </row>
    <row r="934">
      <c r="A934" s="149" t="inlineStr">
        <is>
          <t>Project Notos</t>
        </is>
      </c>
      <c r="B934" s="149" t="inlineStr">
        <is>
          <t>3.5.8</t>
        </is>
      </c>
      <c r="C934" s="149" t="inlineStr">
        <is>
          <t>Transfer pricing</t>
        </is>
      </c>
      <c r="D934" s="149" t="inlineStr"/>
      <c r="E934" s="149" t="inlineStr">
        <is>
          <t>FOLDER</t>
        </is>
      </c>
    </row>
    <row r="935">
      <c r="A935" t="inlineStr">
        <is>
          <t>Project Notos</t>
        </is>
      </c>
      <c r="B935" t="inlineStr">
        <is>
          <t>3.5.8.1</t>
        </is>
      </c>
      <c r="C935" t="inlineStr"/>
      <c r="D935" t="inlineStr">
        <is>
          <t>250923_IC relations</t>
        </is>
      </c>
      <c r="E935" t="inlineStr">
        <is>
          <t>DOCUMENT</t>
        </is>
      </c>
    </row>
    <row r="936">
      <c r="A936" s="149" t="inlineStr">
        <is>
          <t>Project Notos</t>
        </is>
      </c>
      <c r="B936" s="149" t="inlineStr">
        <is>
          <t>3.6</t>
        </is>
      </c>
      <c r="C936" s="149" t="inlineStr">
        <is>
          <t>Innerio Immobilien GmbH</t>
        </is>
      </c>
      <c r="D936" s="149" t="inlineStr"/>
      <c r="E936" s="149" t="inlineStr">
        <is>
          <t>FOLDER</t>
        </is>
      </c>
    </row>
    <row r="937">
      <c r="A937" s="149" t="inlineStr">
        <is>
          <t>Project Notos</t>
        </is>
      </c>
      <c r="B937" s="149" t="inlineStr">
        <is>
          <t>3.6.1</t>
        </is>
      </c>
      <c r="C937" s="149" t="inlineStr">
        <is>
          <t>Tax compliance</t>
        </is>
      </c>
      <c r="D937" s="149" t="inlineStr"/>
      <c r="E937" s="149" t="inlineStr">
        <is>
          <t>FOLDER</t>
        </is>
      </c>
    </row>
    <row r="938">
      <c r="A938" t="inlineStr">
        <is>
          <t>Project Notos</t>
        </is>
      </c>
      <c r="B938" t="inlineStr">
        <is>
          <t>3.6.1.1</t>
        </is>
      </c>
      <c r="C938" t="inlineStr"/>
      <c r="D938" t="inlineStr">
        <is>
          <t>260408_Overview Tax</t>
        </is>
      </c>
      <c r="E938" t="inlineStr">
        <is>
          <t>DOCUMENT</t>
        </is>
      </c>
    </row>
    <row r="939">
      <c r="A939" t="inlineStr">
        <is>
          <t>Project Notos</t>
        </is>
      </c>
      <c r="B939" t="inlineStr">
        <is>
          <t>3.6.1.2</t>
        </is>
      </c>
      <c r="C939" t="inlineStr"/>
      <c r="D939" t="inlineStr">
        <is>
          <t>IMMO Finanzamt 8.4.26</t>
        </is>
      </c>
      <c r="E939" t="inlineStr">
        <is>
          <t>DOCUMENT</t>
        </is>
      </c>
    </row>
    <row r="940">
      <c r="A940" s="149" t="inlineStr">
        <is>
          <t>Project Notos</t>
        </is>
      </c>
      <c r="B940" s="149" t="inlineStr">
        <is>
          <t>3.6.2</t>
        </is>
      </c>
      <c r="C940" s="149" t="inlineStr">
        <is>
          <t>CIT</t>
        </is>
      </c>
      <c r="D940" s="149" t="inlineStr"/>
      <c r="E940" s="149" t="inlineStr">
        <is>
          <t>FOLDER</t>
        </is>
      </c>
    </row>
    <row r="941">
      <c r="A941" t="inlineStr">
        <is>
          <t>Project Notos</t>
        </is>
      </c>
      <c r="B941" t="inlineStr">
        <is>
          <t>3.6.2.1</t>
        </is>
      </c>
      <c r="C941" t="inlineStr"/>
      <c r="D941" t="inlineStr">
        <is>
          <t>Innerio Immobilien - KStek 2023</t>
        </is>
      </c>
      <c r="E941" t="inlineStr">
        <is>
          <t>DOCUMENT</t>
        </is>
      </c>
    </row>
    <row r="942">
      <c r="A942" s="149" t="inlineStr">
        <is>
          <t>Project Notos</t>
        </is>
      </c>
      <c r="B942" s="149" t="inlineStr">
        <is>
          <t>3.6.3</t>
        </is>
      </c>
      <c r="C942" s="149" t="inlineStr">
        <is>
          <t>Assessment notices</t>
        </is>
      </c>
      <c r="D942" s="149" t="inlineStr"/>
      <c r="E942" s="149" t="inlineStr">
        <is>
          <t>FOLDER</t>
        </is>
      </c>
    </row>
    <row r="943">
      <c r="A943" t="inlineStr">
        <is>
          <t>Project Notos</t>
        </is>
      </c>
      <c r="B943" t="inlineStr">
        <is>
          <t>3.6.3.1</t>
        </is>
      </c>
      <c r="C943" t="inlineStr"/>
      <c r="D943" t="inlineStr">
        <is>
          <t>250731_Feststellungsbescheid Gruppenmitglied 2023_II</t>
        </is>
      </c>
      <c r="E943" t="inlineStr">
        <is>
          <t>DOCUMENT</t>
        </is>
      </c>
    </row>
    <row r="944">
      <c r="A944" s="149" t="inlineStr">
        <is>
          <t>Project Notos</t>
        </is>
      </c>
      <c r="B944" s="149" t="inlineStr">
        <is>
          <t>3.6.4</t>
        </is>
      </c>
      <c r="C944" s="149" t="inlineStr">
        <is>
          <t>Tax audits</t>
        </is>
      </c>
      <c r="D944" s="149" t="inlineStr"/>
      <c r="E944" s="149" t="inlineStr">
        <is>
          <t>FOLDER</t>
        </is>
      </c>
    </row>
    <row r="945">
      <c r="A945" t="inlineStr">
        <is>
          <t>Project Notos</t>
        </is>
      </c>
      <c r="B945" t="inlineStr">
        <is>
          <t>3.6.4.1</t>
        </is>
      </c>
      <c r="C945" t="inlineStr"/>
      <c r="D945" t="inlineStr">
        <is>
          <t>2020-07-09 BP Bericht Modine Austria Immobilien GmbH</t>
        </is>
      </c>
      <c r="E945" t="inlineStr">
        <is>
          <t>DOCUMENT</t>
        </is>
      </c>
    </row>
    <row r="946">
      <c r="A946" s="149" t="inlineStr">
        <is>
          <t>Project Notos</t>
        </is>
      </c>
      <c r="B946" s="149" t="inlineStr">
        <is>
          <t>3.6.5</t>
        </is>
      </c>
      <c r="C946" s="149" t="inlineStr">
        <is>
          <t>WHT</t>
        </is>
      </c>
      <c r="D946" s="149" t="inlineStr"/>
      <c r="E946" s="149" t="inlineStr">
        <is>
          <t>FOLDER</t>
        </is>
      </c>
    </row>
    <row r="947">
      <c r="A947" t="inlineStr">
        <is>
          <t>Project Notos</t>
        </is>
      </c>
      <c r="B947" t="inlineStr">
        <is>
          <t>3.6.5.1</t>
        </is>
      </c>
      <c r="C947" t="inlineStr"/>
      <c r="D947" t="inlineStr">
        <is>
          <t>231215_Gesellschafterbeschluss_2023</t>
        </is>
      </c>
      <c r="E947" t="inlineStr">
        <is>
          <t>DOCUMENT</t>
        </is>
      </c>
    </row>
    <row r="948">
      <c r="A948" t="inlineStr">
        <is>
          <t>Project Notos</t>
        </is>
      </c>
      <c r="B948" t="inlineStr">
        <is>
          <t>3.6.5.2</t>
        </is>
      </c>
      <c r="C948" t="inlineStr"/>
      <c r="D948" t="inlineStr">
        <is>
          <t>240216_Gesellschafterbeschluss_2023</t>
        </is>
      </c>
      <c r="E948" t="inlineStr">
        <is>
          <t>DOCUMENT</t>
        </is>
      </c>
    </row>
    <row r="949">
      <c r="A949" t="inlineStr">
        <is>
          <t>Project Notos</t>
        </is>
      </c>
      <c r="B949" t="inlineStr">
        <is>
          <t>3.6.5.3</t>
        </is>
      </c>
      <c r="C949" t="inlineStr"/>
      <c r="D949" t="inlineStr">
        <is>
          <t>250407_Gesellschafterbeschluss_2024</t>
        </is>
      </c>
      <c r="E949" t="inlineStr">
        <is>
          <t>DOCUMENT</t>
        </is>
      </c>
    </row>
    <row r="950">
      <c r="A950" s="149" t="inlineStr">
        <is>
          <t>Project Notos</t>
        </is>
      </c>
      <c r="B950" s="149" t="inlineStr">
        <is>
          <t>3.6.6</t>
        </is>
      </c>
      <c r="C950" s="149" t="inlineStr">
        <is>
          <t>CIT group</t>
        </is>
      </c>
      <c r="D950" s="149" t="inlineStr"/>
      <c r="E950" s="149" t="inlineStr">
        <is>
          <t>FOLDER</t>
        </is>
      </c>
    </row>
    <row r="951">
      <c r="A951" t="inlineStr">
        <is>
          <t>Project Notos</t>
        </is>
      </c>
      <c r="B951" t="inlineStr">
        <is>
          <t>3.6.6.1</t>
        </is>
      </c>
      <c r="C951" t="inlineStr"/>
      <c r="D951" t="inlineStr">
        <is>
          <t>250205_Gruppenfeststellungsbescheid 2024_II</t>
        </is>
      </c>
      <c r="E951" t="inlineStr">
        <is>
          <t>DOCUMENT</t>
        </is>
      </c>
    </row>
    <row r="952">
      <c r="A952" t="inlineStr">
        <is>
          <t>Project Notos</t>
        </is>
      </c>
      <c r="B952" t="inlineStr">
        <is>
          <t>3.6.6.2</t>
        </is>
      </c>
      <c r="C952" t="inlineStr"/>
      <c r="D952" t="inlineStr">
        <is>
          <t>Organschaft_Gruppenbesteuerung</t>
        </is>
      </c>
      <c r="E952" t="inlineStr">
        <is>
          <t>DOCUMENT</t>
        </is>
      </c>
    </row>
    <row r="953">
      <c r="A953" s="149" t="inlineStr">
        <is>
          <t>Project Notos</t>
        </is>
      </c>
      <c r="B953" s="149" t="inlineStr">
        <is>
          <t>3.7</t>
        </is>
      </c>
      <c r="C953" s="149" t="inlineStr">
        <is>
          <t>Innerio (Changsha) Thermal Technology Co. Ltd. (ITTC)</t>
        </is>
      </c>
      <c r="D953" s="149" t="inlineStr"/>
      <c r="E953" s="149" t="inlineStr">
        <is>
          <t>FOLDER</t>
        </is>
      </c>
    </row>
    <row r="954">
      <c r="A954" s="149" t="inlineStr">
        <is>
          <t>Project Notos</t>
        </is>
      </c>
      <c r="B954" s="149" t="inlineStr">
        <is>
          <t>3.7.1</t>
        </is>
      </c>
      <c r="C954" s="149" t="inlineStr">
        <is>
          <t>Tax Return 2022-2025</t>
        </is>
      </c>
      <c r="D954" s="149" t="inlineStr"/>
      <c r="E954" s="149" t="inlineStr">
        <is>
          <t>FOLDER</t>
        </is>
      </c>
    </row>
    <row r="955">
      <c r="A955" s="149" t="inlineStr">
        <is>
          <t>Project Notos</t>
        </is>
      </c>
      <c r="B955" s="149" t="inlineStr">
        <is>
          <t>3.7.1.1</t>
        </is>
      </c>
      <c r="C955" s="149" t="inlineStr">
        <is>
          <t>2023</t>
        </is>
      </c>
      <c r="D955" s="149" t="inlineStr"/>
      <c r="E955" s="149" t="inlineStr">
        <is>
          <t>FOLDER</t>
        </is>
      </c>
    </row>
    <row r="956">
      <c r="A956" t="inlineStr">
        <is>
          <t>Project Notos</t>
        </is>
      </c>
      <c r="B956" t="inlineStr">
        <is>
          <t>3.7.1.1.1</t>
        </is>
      </c>
      <c r="C956" t="inlineStr"/>
      <c r="D956" t="inlineStr">
        <is>
          <t>PRC Annual Enterprise Income Tax Return (Form A)  (2023-01-01-2023-12-31)</t>
        </is>
      </c>
      <c r="E956" t="inlineStr">
        <is>
          <t>DOCUMENT</t>
        </is>
      </c>
    </row>
    <row r="957">
      <c r="A957" s="149" t="inlineStr">
        <is>
          <t>Project Notos</t>
        </is>
      </c>
      <c r="B957" s="149" t="inlineStr">
        <is>
          <t>3.7.1.2</t>
        </is>
      </c>
      <c r="C957" s="149" t="inlineStr">
        <is>
          <t>2024</t>
        </is>
      </c>
      <c r="D957" s="149" t="inlineStr"/>
      <c r="E957" s="149" t="inlineStr">
        <is>
          <t>FOLDER</t>
        </is>
      </c>
    </row>
    <row r="958">
      <c r="A958" t="inlineStr">
        <is>
          <t>Project Notos</t>
        </is>
      </c>
      <c r="B958" t="inlineStr">
        <is>
          <t>3.7.1.2.1</t>
        </is>
      </c>
      <c r="C958" t="inlineStr"/>
      <c r="D958" t="inlineStr">
        <is>
          <t>Declaration Form for Property and Behavior Tax (1)</t>
        </is>
      </c>
      <c r="E958" t="inlineStr">
        <is>
          <t>DOCUMENT</t>
        </is>
      </c>
    </row>
    <row r="959">
      <c r="A959" t="inlineStr">
        <is>
          <t>Project Notos</t>
        </is>
      </c>
      <c r="B959" t="inlineStr">
        <is>
          <t>3.7.1.2.2</t>
        </is>
      </c>
      <c r="C959" t="inlineStr"/>
      <c r="D959" t="inlineStr">
        <is>
          <t>Declaration Form for the Employment Security Fund for the Disabled (2024-01-01-2024-12-31)</t>
        </is>
      </c>
      <c r="E959" t="inlineStr">
        <is>
          <t>DOCUMENT</t>
        </is>
      </c>
    </row>
    <row r="960">
      <c r="A960" t="inlineStr">
        <is>
          <t>Project Notos</t>
        </is>
      </c>
      <c r="B960" t="inlineStr">
        <is>
          <t>3.7.1.2.3</t>
        </is>
      </c>
      <c r="C960" t="inlineStr"/>
      <c r="D960" t="inlineStr">
        <is>
          <t>PRC Annual Enterprise Income Tax Return (Form A)  (2024-01-01-2024-12-31)</t>
        </is>
      </c>
      <c r="E960" t="inlineStr">
        <is>
          <t>DOCUMENT</t>
        </is>
      </c>
    </row>
    <row r="961">
      <c r="A961" t="inlineStr">
        <is>
          <t>Project Notos</t>
        </is>
      </c>
      <c r="B961" t="inlineStr">
        <is>
          <t>3.7.1.2.4</t>
        </is>
      </c>
      <c r="C961" t="inlineStr"/>
      <c r="D961" t="inlineStr">
        <is>
          <t>Stamp Duty Filing Return (2024-07-15-2024-07-15)</t>
        </is>
      </c>
      <c r="E961" t="inlineStr">
        <is>
          <t>DOCUMENT</t>
        </is>
      </c>
    </row>
    <row r="962">
      <c r="A962" s="149" t="inlineStr">
        <is>
          <t>Project Notos</t>
        </is>
      </c>
      <c r="B962" s="149" t="inlineStr">
        <is>
          <t>3.8</t>
        </is>
      </c>
      <c r="C962" s="149" t="inlineStr">
        <is>
          <t>Innerio America</t>
        </is>
      </c>
      <c r="D962" s="149" t="inlineStr"/>
      <c r="E962" s="149" t="inlineStr">
        <is>
          <t>FOLDER</t>
        </is>
      </c>
    </row>
    <row r="963">
      <c r="A963" s="149" t="inlineStr">
        <is>
          <t>Project Notos</t>
        </is>
      </c>
      <c r="B963" s="149" t="inlineStr">
        <is>
          <t>3.8.1</t>
        </is>
      </c>
      <c r="C963" s="149" t="inlineStr">
        <is>
          <t>Tax returns</t>
        </is>
      </c>
      <c r="D963" s="149" t="inlineStr"/>
      <c r="E963" s="149" t="inlineStr">
        <is>
          <t>FOLDER</t>
        </is>
      </c>
    </row>
    <row r="964">
      <c r="A964" t="inlineStr">
        <is>
          <t>Project Notos</t>
        </is>
      </c>
      <c r="B964" t="inlineStr">
        <is>
          <t>3.8.1.1</t>
        </is>
      </c>
      <c r="C964" t="inlineStr"/>
      <c r="D964" t="inlineStr">
        <is>
          <t>Innerio America Thermal Technology - 2023 Tax Return (FINAL)</t>
        </is>
      </c>
      <c r="E964" t="inlineStr">
        <is>
          <t>DOCUMENT</t>
        </is>
      </c>
    </row>
    <row r="965">
      <c r="A965" t="inlineStr">
        <is>
          <t>Project Notos</t>
        </is>
      </c>
      <c r="B965" t="inlineStr">
        <is>
          <t>3.8.1.2</t>
        </is>
      </c>
      <c r="C965" t="inlineStr"/>
      <c r="D965" t="inlineStr">
        <is>
          <t>Innerio America Thermal Technology - 2024 Tax Return (FINAL)</t>
        </is>
      </c>
      <c r="E965" t="inlineStr">
        <is>
          <t>DOCUMENT</t>
        </is>
      </c>
    </row>
    <row r="966">
      <c r="A966" s="149" t="inlineStr">
        <is>
          <t>Project Notos</t>
        </is>
      </c>
      <c r="B966" s="149" t="inlineStr">
        <is>
          <t>3.8.2</t>
        </is>
      </c>
      <c r="C966" s="149" t="inlineStr">
        <is>
          <t>Other</t>
        </is>
      </c>
      <c r="D966" s="149" t="inlineStr"/>
      <c r="E966" s="149" t="inlineStr">
        <is>
          <t>FOLDER</t>
        </is>
      </c>
    </row>
    <row r="967">
      <c r="A967" t="inlineStr">
        <is>
          <t>Project Notos</t>
        </is>
      </c>
      <c r="B967" t="inlineStr">
        <is>
          <t>3.8.2.1</t>
        </is>
      </c>
      <c r="C967" t="inlineStr"/>
      <c r="D967" t="inlineStr">
        <is>
          <t>2025 Extension Calculation</t>
        </is>
      </c>
      <c r="E967" t="inlineStr">
        <is>
          <t>DOCUMENT</t>
        </is>
      </c>
    </row>
    <row r="968">
      <c r="A968" t="inlineStr">
        <is>
          <t>Project Notos</t>
        </is>
      </c>
      <c r="B968" t="inlineStr">
        <is>
          <t>3.8.2.2</t>
        </is>
      </c>
      <c r="C968" t="inlineStr"/>
      <c r="D968" t="inlineStr">
        <is>
          <t>Summary NOL Carryover to 2025</t>
        </is>
      </c>
      <c r="E968" t="inlineStr">
        <is>
          <t>DOCUMENT</t>
        </is>
      </c>
    </row>
    <row r="969">
      <c r="A969" t="inlineStr">
        <is>
          <t>Project Notos</t>
        </is>
      </c>
      <c r="B969" t="inlineStr">
        <is>
          <t>3.8.2.3</t>
        </is>
      </c>
      <c r="C969" t="inlineStr"/>
      <c r="D969" t="inlineStr">
        <is>
          <t>Innerio America Thermal Technology Inc. - 2025 Annual Report (DE) (72578225.1)</t>
        </is>
      </c>
      <c r="E969" t="inlineStr">
        <is>
          <t>DOCUMENT</t>
        </is>
      </c>
    </row>
    <row r="970">
      <c r="A970" t="inlineStr">
        <is>
          <t>Project Notos</t>
        </is>
      </c>
      <c r="B970" t="inlineStr">
        <is>
          <t>3.8.2.4</t>
        </is>
      </c>
      <c r="C970" t="inlineStr"/>
      <c r="D970" t="inlineStr">
        <is>
          <t>Innerio America Thermal Technology Inc. - 2025 Annual Report (GA) (72578224.1)</t>
        </is>
      </c>
      <c r="E970" t="inlineStr">
        <is>
          <t>DOCUMENT</t>
        </is>
      </c>
    </row>
    <row r="971">
      <c r="A971" t="inlineStr">
        <is>
          <t>Project Notos</t>
        </is>
      </c>
      <c r="B971" t="inlineStr">
        <is>
          <t>3.8.2.5</t>
        </is>
      </c>
      <c r="C971" t="inlineStr"/>
      <c r="D971" t="inlineStr">
        <is>
          <t>Innerio America Thermal Technology Inc. - 2025 Annual Report</t>
        </is>
      </c>
      <c r="E971" t="inlineStr">
        <is>
          <t>DOCUMENT</t>
        </is>
      </c>
    </row>
    <row r="972">
      <c r="A972" t="inlineStr">
        <is>
          <t>Project Notos</t>
        </is>
      </c>
      <c r="B972" t="inlineStr">
        <is>
          <t>3.8.2.6</t>
        </is>
      </c>
      <c r="C972" t="inlineStr"/>
      <c r="D972" t="inlineStr">
        <is>
          <t>Innerio America Thermal Technology Inc. - 2026 Annual Report (DE) (81755183.1)</t>
        </is>
      </c>
      <c r="E972" t="inlineStr">
        <is>
          <t>DOCUMENT</t>
        </is>
      </c>
    </row>
    <row r="973">
      <c r="A973" t="inlineStr">
        <is>
          <t>Project Notos</t>
        </is>
      </c>
      <c r="B973" t="inlineStr">
        <is>
          <t>3.8.2.7</t>
        </is>
      </c>
      <c r="C973" t="inlineStr"/>
      <c r="D973" t="inlineStr">
        <is>
          <t>Innerio America Thermal Technology Inc. - 2026 Annual Report (GA) (81755182.1)</t>
        </is>
      </c>
      <c r="E973" t="inlineStr">
        <is>
          <t>DOCUMENT</t>
        </is>
      </c>
    </row>
    <row r="974">
      <c r="A974" s="149" t="inlineStr">
        <is>
          <t>Project Notos</t>
        </is>
      </c>
      <c r="B974" s="149" t="inlineStr">
        <is>
          <t>4</t>
        </is>
      </c>
      <c r="C974" s="149" t="inlineStr">
        <is>
          <t>Operations</t>
        </is>
      </c>
      <c r="D974" s="149" t="inlineStr"/>
      <c r="E974" s="149" t="inlineStr">
        <is>
          <t>FOLDER</t>
        </is>
      </c>
    </row>
    <row r="975">
      <c r="A975" s="149" t="inlineStr">
        <is>
          <t>Project Notos</t>
        </is>
      </c>
      <c r="B975" s="149" t="inlineStr">
        <is>
          <t>4.1</t>
        </is>
      </c>
      <c r="C975" s="149" t="inlineStr">
        <is>
          <t>Innerio Thermal Technology (ITT )</t>
        </is>
      </c>
      <c r="D975" s="149" t="inlineStr"/>
      <c r="E975" s="149" t="inlineStr">
        <is>
          <t>FOLDER</t>
        </is>
      </c>
    </row>
    <row r="976">
      <c r="A976" s="149" t="inlineStr">
        <is>
          <t>Project Notos</t>
        </is>
      </c>
      <c r="B976" s="149" t="inlineStr">
        <is>
          <t>4.1.1</t>
        </is>
      </c>
      <c r="C976" s="149" t="inlineStr">
        <is>
          <t>Certifications</t>
        </is>
      </c>
      <c r="D976" s="149" t="inlineStr"/>
      <c r="E976" s="149" t="inlineStr">
        <is>
          <t>FOLDER</t>
        </is>
      </c>
    </row>
    <row r="977">
      <c r="A977" t="inlineStr">
        <is>
          <t>Project Notos</t>
        </is>
      </c>
      <c r="B977" t="inlineStr">
        <is>
          <t>4.1.1.1</t>
        </is>
      </c>
      <c r="C977" t="inlineStr"/>
      <c r="D977" t="inlineStr">
        <is>
          <t>ITT_01 100 1941580_Main_EN</t>
        </is>
      </c>
      <c r="E977" t="inlineStr">
        <is>
          <t>DOCUMENT</t>
        </is>
      </c>
    </row>
    <row r="978">
      <c r="A978" t="inlineStr">
        <is>
          <t>Project Notos</t>
        </is>
      </c>
      <c r="B978" t="inlineStr">
        <is>
          <t>4.1.1.2</t>
        </is>
      </c>
      <c r="C978" t="inlineStr"/>
      <c r="D978" t="inlineStr">
        <is>
          <t>ITT_01 100 1941580_Main_PL</t>
        </is>
      </c>
      <c r="E978" t="inlineStr">
        <is>
          <t>DOCUMENT</t>
        </is>
      </c>
    </row>
    <row r="979">
      <c r="A979" t="inlineStr">
        <is>
          <t>Project Notos</t>
        </is>
      </c>
      <c r="B979" t="inlineStr">
        <is>
          <t>4.1.1.3</t>
        </is>
      </c>
      <c r="C979" t="inlineStr"/>
      <c r="D979" t="inlineStr">
        <is>
          <t>ITT_01 111 1941583_Main_EN</t>
        </is>
      </c>
      <c r="E979" t="inlineStr">
        <is>
          <t>DOCUMENT</t>
        </is>
      </c>
    </row>
    <row r="980">
      <c r="A980" t="inlineStr">
        <is>
          <t>Project Notos</t>
        </is>
      </c>
      <c r="B980" t="inlineStr">
        <is>
          <t>4.1.1.4</t>
        </is>
      </c>
      <c r="C980" t="inlineStr"/>
      <c r="D980" t="inlineStr">
        <is>
          <t>ITT_01 111 1941583_Annex_EN</t>
        </is>
      </c>
      <c r="E980" t="inlineStr">
        <is>
          <t>DOCUMENT</t>
        </is>
      </c>
    </row>
    <row r="981">
      <c r="A981" t="inlineStr">
        <is>
          <t>Project Notos</t>
        </is>
      </c>
      <c r="B981" t="inlineStr">
        <is>
          <t>4.1.1.5</t>
        </is>
      </c>
      <c r="C981" t="inlineStr"/>
      <c r="D981" t="inlineStr">
        <is>
          <t>ITT_01 213 2542431_Main_EN</t>
        </is>
      </c>
      <c r="E981" t="inlineStr">
        <is>
          <t>DOCUMENT</t>
        </is>
      </c>
    </row>
    <row r="982">
      <c r="A982" t="inlineStr">
        <is>
          <t>Project Notos</t>
        </is>
      </c>
      <c r="B982" t="inlineStr">
        <is>
          <t>4.1.1.6</t>
        </is>
      </c>
      <c r="C982" t="inlineStr"/>
      <c r="D982" t="inlineStr">
        <is>
          <t>ITT_01 213 2542431_Main_PL</t>
        </is>
      </c>
      <c r="E982" t="inlineStr">
        <is>
          <t>DOCUMENT</t>
        </is>
      </c>
    </row>
    <row r="983">
      <c r="A983" t="inlineStr">
        <is>
          <t>Project Notos</t>
        </is>
      </c>
      <c r="B983" t="inlineStr">
        <is>
          <t>4.1.1.7</t>
        </is>
      </c>
      <c r="C983" t="inlineStr"/>
      <c r="D983" t="inlineStr">
        <is>
          <t>ITT_01 213 2542431_Annex_EN</t>
        </is>
      </c>
      <c r="E983" t="inlineStr">
        <is>
          <t>DOCUMENT</t>
        </is>
      </c>
    </row>
    <row r="984">
      <c r="A984" t="inlineStr">
        <is>
          <t>Project Notos</t>
        </is>
      </c>
      <c r="B984" t="inlineStr">
        <is>
          <t>4.1.1.8</t>
        </is>
      </c>
      <c r="C984" t="inlineStr"/>
      <c r="D984" t="inlineStr">
        <is>
          <t>ITT_01 213 2542431_Annex_PL</t>
        </is>
      </c>
      <c r="E984" t="inlineStr">
        <is>
          <t>DOCUMENT</t>
        </is>
      </c>
    </row>
    <row r="985">
      <c r="A985" t="inlineStr">
        <is>
          <t>Project Notos</t>
        </is>
      </c>
      <c r="B985" t="inlineStr">
        <is>
          <t>4.1.1.9</t>
        </is>
      </c>
      <c r="C985" t="inlineStr"/>
      <c r="D985" t="inlineStr">
        <is>
          <t>ITT_0198 104 2542430_Main_EN</t>
        </is>
      </c>
      <c r="E985" t="inlineStr">
        <is>
          <t>DOCUMENT</t>
        </is>
      </c>
    </row>
    <row r="986">
      <c r="A986" t="inlineStr">
        <is>
          <t>Project Notos</t>
        </is>
      </c>
      <c r="B986" t="inlineStr">
        <is>
          <t>4.1.1.10</t>
        </is>
      </c>
      <c r="C986" t="inlineStr"/>
      <c r="D986" t="inlineStr">
        <is>
          <t>ITT_0198 104 2542430_Main_PL</t>
        </is>
      </c>
      <c r="E986" t="inlineStr">
        <is>
          <t>DOCUMENT</t>
        </is>
      </c>
    </row>
    <row r="987">
      <c r="A987" t="inlineStr">
        <is>
          <t>Project Notos</t>
        </is>
      </c>
      <c r="B987" t="inlineStr">
        <is>
          <t>4.1.1.11</t>
        </is>
      </c>
      <c r="C987" t="inlineStr"/>
      <c r="D987" t="inlineStr">
        <is>
          <t>ITT_0198 104 2542430_Annex_EN</t>
        </is>
      </c>
      <c r="E987" t="inlineStr">
        <is>
          <t>DOCUMENT</t>
        </is>
      </c>
    </row>
    <row r="988">
      <c r="A988" t="inlineStr">
        <is>
          <t>Project Notos</t>
        </is>
      </c>
      <c r="B988" t="inlineStr">
        <is>
          <t>4.1.1.12</t>
        </is>
      </c>
      <c r="C988" t="inlineStr"/>
      <c r="D988" t="inlineStr">
        <is>
          <t>ITT_0198 104 2542430_Annex_PL</t>
        </is>
      </c>
      <c r="E988" t="inlineStr">
        <is>
          <t>DOCUMENT</t>
        </is>
      </c>
    </row>
    <row r="989">
      <c r="A989" t="inlineStr">
        <is>
          <t>Project Notos</t>
        </is>
      </c>
      <c r="B989" t="inlineStr">
        <is>
          <t>4.1.1.13</t>
        </is>
      </c>
      <c r="C989" t="inlineStr"/>
      <c r="D989" t="inlineStr">
        <is>
          <t>ITT_TISAX</t>
        </is>
      </c>
      <c r="E989" t="inlineStr">
        <is>
          <t>DOCUMENT</t>
        </is>
      </c>
    </row>
    <row r="990">
      <c r="A990" t="inlineStr">
        <is>
          <t>Project Notos</t>
        </is>
      </c>
      <c r="B990" t="inlineStr">
        <is>
          <t>4.1.1.14</t>
        </is>
      </c>
      <c r="C990" t="inlineStr"/>
      <c r="D990" t="inlineStr">
        <is>
          <t>ITT_ISO 14001+ ISO45001 Innerio - ENGUS 08.11.2028</t>
        </is>
      </c>
      <c r="E990" t="inlineStr">
        <is>
          <t>DOCUMENT</t>
        </is>
      </c>
    </row>
    <row r="991">
      <c r="A991" s="149" t="inlineStr">
        <is>
          <t>Project Notos</t>
        </is>
      </c>
      <c r="B991" s="149" t="inlineStr">
        <is>
          <t>4.1.2</t>
        </is>
      </c>
      <c r="C991" s="149" t="inlineStr">
        <is>
          <t>IT</t>
        </is>
      </c>
      <c r="D991" s="149" t="inlineStr"/>
      <c r="E991" s="149" t="inlineStr">
        <is>
          <t>FOLDER</t>
        </is>
      </c>
    </row>
    <row r="992">
      <c r="A992" t="inlineStr">
        <is>
          <t>Project Notos</t>
        </is>
      </c>
      <c r="B992" t="inlineStr">
        <is>
          <t>4.1.2.1</t>
        </is>
      </c>
      <c r="C992" t="inlineStr"/>
      <c r="D992" t="inlineStr">
        <is>
          <t>Innerio core systems landscape 0.1</t>
        </is>
      </c>
      <c r="E992" t="inlineStr">
        <is>
          <t>DOCUMENT</t>
        </is>
      </c>
    </row>
    <row r="993">
      <c r="A993" t="inlineStr">
        <is>
          <t>Project Notos</t>
        </is>
      </c>
      <c r="B993" t="inlineStr">
        <is>
          <t>4.1.2.2</t>
        </is>
      </c>
      <c r="C993" t="inlineStr"/>
      <c r="D993" t="inlineStr">
        <is>
          <t>Group interface</t>
        </is>
      </c>
      <c r="E993" t="inlineStr">
        <is>
          <t>DOCUMENT</t>
        </is>
      </c>
    </row>
    <row r="994">
      <c r="A994" s="149" t="inlineStr">
        <is>
          <t>Project Notos</t>
        </is>
      </c>
      <c r="B994" s="149" t="inlineStr">
        <is>
          <t>4.1.3</t>
        </is>
      </c>
      <c r="C994" s="149" t="inlineStr">
        <is>
          <t>Plant Layout</t>
        </is>
      </c>
      <c r="D994" s="149" t="inlineStr"/>
      <c r="E994" s="149" t="inlineStr">
        <is>
          <t>FOLDER</t>
        </is>
      </c>
    </row>
    <row r="995">
      <c r="A995" t="inlineStr">
        <is>
          <t>Project Notos</t>
        </is>
      </c>
      <c r="B995" t="inlineStr">
        <is>
          <t>4.1.3.1</t>
        </is>
      </c>
      <c r="C995" t="inlineStr"/>
      <c r="D995" t="inlineStr">
        <is>
          <t>ITT_Layout_20260528</t>
        </is>
      </c>
      <c r="E995" t="inlineStr">
        <is>
          <t>DOCUMENT</t>
        </is>
      </c>
    </row>
    <row r="996">
      <c r="A996" s="149" t="inlineStr">
        <is>
          <t>Project Notos</t>
        </is>
      </c>
      <c r="B996" s="149" t="inlineStr">
        <is>
          <t>4.2</t>
        </is>
      </c>
      <c r="C996" s="149" t="inlineStr">
        <is>
          <t>Innerio Heat Exchanger (IHE)</t>
        </is>
      </c>
      <c r="D996" s="149" t="inlineStr"/>
      <c r="E996" s="149" t="inlineStr">
        <is>
          <t>FOLDER</t>
        </is>
      </c>
    </row>
    <row r="997">
      <c r="A997" s="149" t="inlineStr">
        <is>
          <t>Project Notos</t>
        </is>
      </c>
      <c r="B997" s="149" t="inlineStr">
        <is>
          <t>4.2.1</t>
        </is>
      </c>
      <c r="C997" s="149" t="inlineStr">
        <is>
          <t>Certifications</t>
        </is>
      </c>
      <c r="D997" s="149" t="inlineStr"/>
      <c r="E997" s="149" t="inlineStr">
        <is>
          <t>FOLDER</t>
        </is>
      </c>
    </row>
    <row r="998">
      <c r="A998" t="inlineStr">
        <is>
          <t>Project Notos</t>
        </is>
      </c>
      <c r="B998" t="inlineStr">
        <is>
          <t>4.2.1.1</t>
        </is>
      </c>
      <c r="C998" t="inlineStr"/>
      <c r="D998" t="inlineStr">
        <is>
          <t>IHE_IATF Innerio 16949-ENGUS_23.07.2028</t>
        </is>
      </c>
      <c r="E998" t="inlineStr">
        <is>
          <t>DOCUMENT</t>
        </is>
      </c>
    </row>
    <row r="999">
      <c r="A999" t="inlineStr">
        <is>
          <t>Project Notos</t>
        </is>
      </c>
      <c r="B999" t="inlineStr">
        <is>
          <t>4.2.1.2</t>
        </is>
      </c>
      <c r="C999" t="inlineStr"/>
      <c r="D999" t="inlineStr">
        <is>
          <t>IHE_ISO 14001+ ISO45001 Innerio_08.11.2028</t>
        </is>
      </c>
      <c r="E999" t="inlineStr">
        <is>
          <t>DOCUMENT</t>
        </is>
      </c>
    </row>
    <row r="1000">
      <c r="A1000" t="inlineStr">
        <is>
          <t>Project Notos</t>
        </is>
      </c>
      <c r="B1000" t="inlineStr">
        <is>
          <t>4.2.1.3</t>
        </is>
      </c>
      <c r="C1000" t="inlineStr"/>
      <c r="D1000" t="inlineStr">
        <is>
          <t>IHE_TISAX Scope S5Z3KN assessment document_20.06.2027</t>
        </is>
      </c>
      <c r="E1000" t="inlineStr">
        <is>
          <t>DOCUMENT</t>
        </is>
      </c>
    </row>
    <row r="1001">
      <c r="A1001" s="149" t="inlineStr">
        <is>
          <t>Project Notos</t>
        </is>
      </c>
      <c r="B1001" s="149" t="inlineStr">
        <is>
          <t>4.2.2</t>
        </is>
      </c>
      <c r="C1001" s="149" t="inlineStr">
        <is>
          <t>Plant Layout</t>
        </is>
      </c>
      <c r="D1001" s="149" t="inlineStr"/>
      <c r="E1001" s="149" t="inlineStr">
        <is>
          <t>FOLDER</t>
        </is>
      </c>
    </row>
    <row r="1002">
      <c r="A1002" t="inlineStr">
        <is>
          <t>Project Notos</t>
        </is>
      </c>
      <c r="B1002" t="inlineStr">
        <is>
          <t>4.2.2.1</t>
        </is>
      </c>
      <c r="C1002" t="inlineStr"/>
      <c r="D1002" t="inlineStr">
        <is>
          <t>IHE_Layout_20251029</t>
        </is>
      </c>
      <c r="E1002" t="inlineStr">
        <is>
          <t>DOCUMENT</t>
        </is>
      </c>
    </row>
    <row r="1003">
      <c r="A1003" s="149" t="inlineStr">
        <is>
          <t>Project Notos</t>
        </is>
      </c>
      <c r="B1003" s="149" t="inlineStr">
        <is>
          <t>4.3</t>
        </is>
      </c>
      <c r="C1003" s="149" t="inlineStr">
        <is>
          <t>Rupert Fertinger (RF)</t>
        </is>
      </c>
      <c r="D1003" s="149" t="inlineStr"/>
      <c r="E1003" s="149" t="inlineStr">
        <is>
          <t>FOLDER</t>
        </is>
      </c>
    </row>
    <row r="1004">
      <c r="A1004" s="149" t="inlineStr">
        <is>
          <t>Project Notos</t>
        </is>
      </c>
      <c r="B1004" s="149" t="inlineStr">
        <is>
          <t>4.3.1</t>
        </is>
      </c>
      <c r="C1004" s="149" t="inlineStr">
        <is>
          <t>Certifications</t>
        </is>
      </c>
      <c r="D1004" s="149" t="inlineStr"/>
      <c r="E1004" s="149" t="inlineStr">
        <is>
          <t>FOLDER</t>
        </is>
      </c>
    </row>
    <row r="1005">
      <c r="A1005" t="inlineStr">
        <is>
          <t>Project Notos</t>
        </is>
      </c>
      <c r="B1005" t="inlineStr">
        <is>
          <t>4.3.1.1</t>
        </is>
      </c>
      <c r="C1005" t="inlineStr"/>
      <c r="D1005" t="inlineStr">
        <is>
          <t>RF_IATF16_30950547 IATF16_EN</t>
        </is>
      </c>
      <c r="E1005" t="inlineStr">
        <is>
          <t>DOCUMENT</t>
        </is>
      </c>
    </row>
    <row r="1006">
      <c r="A1006" t="inlineStr">
        <is>
          <t>Project Notos</t>
        </is>
      </c>
      <c r="B1006" t="inlineStr">
        <is>
          <t>4.3.1.2</t>
        </is>
      </c>
      <c r="C1006" t="inlineStr"/>
      <c r="D1006" t="inlineStr">
        <is>
          <t>RF_QM15_30950547 QM15_EN</t>
        </is>
      </c>
      <c r="E1006" t="inlineStr">
        <is>
          <t>DOCUMENT</t>
        </is>
      </c>
    </row>
    <row r="1007">
      <c r="A1007" t="inlineStr">
        <is>
          <t>Project Notos</t>
        </is>
      </c>
      <c r="B1007" t="inlineStr">
        <is>
          <t>4.3.1.3</t>
        </is>
      </c>
      <c r="C1007" t="inlineStr"/>
      <c r="D1007" t="inlineStr">
        <is>
          <t>RF_UM15_30950547-UM15_DE</t>
        </is>
      </c>
      <c r="E1007" t="inlineStr">
        <is>
          <t>DOCUMENT</t>
        </is>
      </c>
    </row>
    <row r="1008">
      <c r="A1008" s="149" t="inlineStr">
        <is>
          <t>Project Notos</t>
        </is>
      </c>
      <c r="B1008" s="149" t="inlineStr">
        <is>
          <t>4.3.2</t>
        </is>
      </c>
      <c r="C1008" s="149" t="inlineStr">
        <is>
          <t>IT</t>
        </is>
      </c>
      <c r="D1008" s="149" t="inlineStr"/>
      <c r="E1008" s="149" t="inlineStr">
        <is>
          <t>FOLDER</t>
        </is>
      </c>
    </row>
    <row r="1009">
      <c r="A1009" t="inlineStr">
        <is>
          <t>Project Notos</t>
        </is>
      </c>
      <c r="B1009" t="inlineStr">
        <is>
          <t>4.3.2.1</t>
        </is>
      </c>
      <c r="C1009" t="inlineStr"/>
      <c r="D1009" t="inlineStr">
        <is>
          <t>RF_Immaterielle VG_251231</t>
        </is>
      </c>
      <c r="E1009" t="inlineStr">
        <is>
          <t>DOCUMENT</t>
        </is>
      </c>
    </row>
    <row r="1010">
      <c r="A1010" s="149" t="inlineStr">
        <is>
          <t>Project Notos</t>
        </is>
      </c>
      <c r="B1010" s="149" t="inlineStr">
        <is>
          <t>4.4</t>
        </is>
      </c>
      <c r="C1010" s="149" t="inlineStr">
        <is>
          <t>Fertinger Tubes (FT)</t>
        </is>
      </c>
      <c r="D1010" s="149" t="inlineStr"/>
      <c r="E1010" s="149" t="inlineStr">
        <is>
          <t>FOLDER</t>
        </is>
      </c>
    </row>
    <row r="1011">
      <c r="A1011" s="149" t="inlineStr">
        <is>
          <t>Project Notos</t>
        </is>
      </c>
      <c r="B1011" s="149" t="inlineStr">
        <is>
          <t>4.4.1</t>
        </is>
      </c>
      <c r="C1011" s="149" t="inlineStr">
        <is>
          <t>Products</t>
        </is>
      </c>
      <c r="D1011" s="149" t="inlineStr"/>
      <c r="E1011" s="149" t="inlineStr">
        <is>
          <t>FOLDER</t>
        </is>
      </c>
    </row>
    <row r="1012">
      <c r="A1012" t="inlineStr">
        <is>
          <t>Project Notos</t>
        </is>
      </c>
      <c r="B1012" t="inlineStr">
        <is>
          <t>4.4.1.1</t>
        </is>
      </c>
      <c r="C1012" t="inlineStr"/>
      <c r="D1012" t="inlineStr">
        <is>
          <t>FT_Core Competencies</t>
        </is>
      </c>
      <c r="E1012" t="inlineStr">
        <is>
          <t>DOCUMENT</t>
        </is>
      </c>
    </row>
    <row r="1013">
      <c r="A1013" t="inlineStr">
        <is>
          <t>Project Notos</t>
        </is>
      </c>
      <c r="B1013" t="inlineStr">
        <is>
          <t>4.4.1.2</t>
        </is>
      </c>
      <c r="C1013" t="inlineStr"/>
      <c r="D1013" t="inlineStr">
        <is>
          <t>FT_Rohrliste_Product_list D</t>
        </is>
      </c>
      <c r="E1013" t="inlineStr">
        <is>
          <t>DOCUMENT</t>
        </is>
      </c>
    </row>
    <row r="1014">
      <c r="A1014" t="inlineStr">
        <is>
          <t>Project Notos</t>
        </is>
      </c>
      <c r="B1014" t="inlineStr">
        <is>
          <t>4.4.1.3</t>
        </is>
      </c>
      <c r="C1014" t="inlineStr"/>
      <c r="D1014" t="inlineStr">
        <is>
          <t>FT_Rohrliste_Product_list DKR</t>
        </is>
      </c>
      <c r="E1014" t="inlineStr">
        <is>
          <t>DOCUMENT</t>
        </is>
      </c>
    </row>
    <row r="1015">
      <c r="A1015" t="inlineStr">
        <is>
          <t>Project Notos</t>
        </is>
      </c>
      <c r="B1015" t="inlineStr">
        <is>
          <t>4.4.1.4</t>
        </is>
      </c>
      <c r="C1015" t="inlineStr"/>
      <c r="D1015" t="inlineStr">
        <is>
          <t>FT_Rohrliste_Product_list FR</t>
        </is>
      </c>
      <c r="E1015" t="inlineStr">
        <is>
          <t>DOCUMENT</t>
        </is>
      </c>
    </row>
    <row r="1016">
      <c r="A1016" t="inlineStr">
        <is>
          <t>Project Notos</t>
        </is>
      </c>
      <c r="B1016" t="inlineStr">
        <is>
          <t>4.4.1.5</t>
        </is>
      </c>
      <c r="C1016" t="inlineStr"/>
      <c r="D1016" t="inlineStr">
        <is>
          <t>FT_Rohrliste_Product_list RR</t>
        </is>
      </c>
      <c r="E1016" t="inlineStr">
        <is>
          <t>DOCUMENT</t>
        </is>
      </c>
    </row>
    <row r="1017">
      <c r="A1017" t="inlineStr">
        <is>
          <t>Project Notos</t>
        </is>
      </c>
      <c r="B1017" t="inlineStr">
        <is>
          <t>4.4.1.6</t>
        </is>
      </c>
      <c r="C1017" t="inlineStr"/>
      <c r="D1017" t="inlineStr">
        <is>
          <t>FT_Rohrliste_Product_list VR</t>
        </is>
      </c>
      <c r="E1017" t="inlineStr">
        <is>
          <t>DOCUMENT</t>
        </is>
      </c>
    </row>
    <row r="1018">
      <c r="A1018" t="inlineStr">
        <is>
          <t>Project Notos</t>
        </is>
      </c>
      <c r="B1018" t="inlineStr">
        <is>
          <t>4.4.1.7</t>
        </is>
      </c>
      <c r="C1018" t="inlineStr"/>
      <c r="D1018" t="inlineStr">
        <is>
          <t>FT_Rohrliste_Product_list VRR</t>
        </is>
      </c>
      <c r="E1018" t="inlineStr">
        <is>
          <t>DOCUMENT</t>
        </is>
      </c>
    </row>
    <row r="1019">
      <c r="A1019" t="inlineStr">
        <is>
          <t>Project Notos</t>
        </is>
      </c>
      <c r="B1019" t="inlineStr">
        <is>
          <t>4.4.1.8</t>
        </is>
      </c>
      <c r="C1019" t="inlineStr"/>
      <c r="D1019" t="inlineStr">
        <is>
          <t>FT_Turbulator_Product_list SLA</t>
        </is>
      </c>
      <c r="E1019" t="inlineStr">
        <is>
          <t>DOCUMENT</t>
        </is>
      </c>
    </row>
    <row r="1020">
      <c r="A1020" s="149" t="inlineStr">
        <is>
          <t>Project Notos</t>
        </is>
      </c>
      <c r="B1020" s="149" t="inlineStr">
        <is>
          <t>4.4.2</t>
        </is>
      </c>
      <c r="C1020" s="149" t="inlineStr">
        <is>
          <t>Certifications</t>
        </is>
      </c>
      <c r="D1020" s="149" t="inlineStr"/>
      <c r="E1020" s="149" t="inlineStr">
        <is>
          <t>FOLDER</t>
        </is>
      </c>
    </row>
    <row r="1021">
      <c r="A1021" t="inlineStr">
        <is>
          <t>Project Notos</t>
        </is>
      </c>
      <c r="B1021" t="inlineStr">
        <is>
          <t>4.4.2.1</t>
        </is>
      </c>
      <c r="C1021" t="inlineStr"/>
      <c r="D1021" t="inlineStr">
        <is>
          <t>FT_EMSt21_30951930 EMSt21_DE</t>
        </is>
      </c>
      <c r="E1021" t="inlineStr">
        <is>
          <t>DOCUMENT</t>
        </is>
      </c>
    </row>
    <row r="1022">
      <c r="A1022" t="inlineStr">
        <is>
          <t>Project Notos</t>
        </is>
      </c>
      <c r="B1022" t="inlineStr">
        <is>
          <t>4.4.2.2</t>
        </is>
      </c>
      <c r="C1022" t="inlineStr"/>
      <c r="D1022" t="inlineStr">
        <is>
          <t>FT_IATF16949_Main_DE</t>
        </is>
      </c>
      <c r="E1022" t="inlineStr">
        <is>
          <t>DOCUMENT</t>
        </is>
      </c>
    </row>
    <row r="1023">
      <c r="A1023" t="inlineStr">
        <is>
          <t>Project Notos</t>
        </is>
      </c>
      <c r="B1023" t="inlineStr">
        <is>
          <t>4.4.2.3</t>
        </is>
      </c>
      <c r="C1023" t="inlineStr"/>
      <c r="D1023" t="inlineStr">
        <is>
          <t>FT_UM15_30951930 UM15_DE</t>
        </is>
      </c>
      <c r="E1023" t="inlineStr">
        <is>
          <t>DOCUMENT</t>
        </is>
      </c>
    </row>
    <row r="1024">
      <c r="A1024" t="inlineStr">
        <is>
          <t>Project Notos</t>
        </is>
      </c>
      <c r="B1024" t="inlineStr">
        <is>
          <t>4.4.2.4</t>
        </is>
      </c>
      <c r="C1024" t="inlineStr"/>
      <c r="D1024" t="inlineStr">
        <is>
          <t>FT_IATF16949_Main_EN</t>
        </is>
      </c>
      <c r="E1024" t="inlineStr">
        <is>
          <t>DOCUMENT</t>
        </is>
      </c>
    </row>
    <row r="1025">
      <c r="A1025" s="149" t="inlineStr">
        <is>
          <t>Project Notos</t>
        </is>
      </c>
      <c r="B1025" s="149" t="inlineStr">
        <is>
          <t>4.4.3</t>
        </is>
      </c>
      <c r="C1025" s="149" t="inlineStr">
        <is>
          <t>Plant Layout</t>
        </is>
      </c>
      <c r="D1025" s="149" t="inlineStr"/>
      <c r="E1025" s="149" t="inlineStr">
        <is>
          <t>FOLDER</t>
        </is>
      </c>
    </row>
    <row r="1026">
      <c r="A1026" t="inlineStr">
        <is>
          <t>Project Notos</t>
        </is>
      </c>
      <c r="B1026" t="inlineStr">
        <is>
          <t>4.4.3.1</t>
        </is>
      </c>
      <c r="C1026" t="inlineStr"/>
      <c r="D1026" t="inlineStr">
        <is>
          <t>Remscheid_Layout_20251210</t>
        </is>
      </c>
      <c r="E1026" t="inlineStr">
        <is>
          <t>DOCUMENT</t>
        </is>
      </c>
    </row>
    <row r="1027">
      <c r="A1027" s="149" t="inlineStr">
        <is>
          <t>Project Notos</t>
        </is>
      </c>
      <c r="B1027" s="149" t="inlineStr">
        <is>
          <t>4.5</t>
        </is>
      </c>
      <c r="C1027" s="149" t="inlineStr">
        <is>
          <t>Innerio Group</t>
        </is>
      </c>
      <c r="D1027" s="149" t="inlineStr"/>
      <c r="E1027" s="149" t="inlineStr">
        <is>
          <t>FOLDER</t>
        </is>
      </c>
    </row>
    <row r="1028">
      <c r="A1028" s="149" t="inlineStr">
        <is>
          <t>Project Notos</t>
        </is>
      </c>
      <c r="B1028" s="149" t="inlineStr">
        <is>
          <t>4.5.1</t>
        </is>
      </c>
      <c r="C1028" s="149" t="inlineStr">
        <is>
          <t>IT</t>
        </is>
      </c>
      <c r="D1028" s="149" t="inlineStr"/>
      <c r="E1028" s="149" t="inlineStr">
        <is>
          <t>FOLDER</t>
        </is>
      </c>
    </row>
    <row r="1029">
      <c r="A1029" t="inlineStr">
        <is>
          <t>Project Notos</t>
        </is>
      </c>
      <c r="B1029" t="inlineStr">
        <is>
          <t>4.5.1.1</t>
        </is>
      </c>
      <c r="C1029" t="inlineStr"/>
      <c r="D1029" t="inlineStr">
        <is>
          <t>Hardware Software Connections IHE and RF</t>
        </is>
      </c>
      <c r="E1029" t="inlineStr">
        <is>
          <t>DOCUMENT</t>
        </is>
      </c>
    </row>
    <row r="1030">
      <c r="A1030" s="149" t="inlineStr">
        <is>
          <t>Project Notos</t>
        </is>
      </c>
      <c r="B1030" s="149" t="inlineStr">
        <is>
          <t>4.5.2</t>
        </is>
      </c>
      <c r="C1030" s="149" t="inlineStr">
        <is>
          <t>FTE_Headcount</t>
        </is>
      </c>
      <c r="D1030" s="149" t="inlineStr"/>
      <c r="E1030" s="149" t="inlineStr">
        <is>
          <t>FOLDER</t>
        </is>
      </c>
    </row>
    <row r="1031">
      <c r="A1031" t="inlineStr">
        <is>
          <t>Project Notos</t>
        </is>
      </c>
      <c r="B1031" t="inlineStr">
        <is>
          <t>4.5.2.1</t>
        </is>
      </c>
      <c r="C1031" t="inlineStr"/>
      <c r="D1031" t="inlineStr">
        <is>
          <t>Headcount_FTE_2023-2025</t>
        </is>
      </c>
      <c r="E1031" t="inlineStr">
        <is>
          <t>DOCUMENT</t>
        </is>
      </c>
    </row>
    <row r="1032">
      <c r="A1032" t="inlineStr">
        <is>
          <t>Project Notos</t>
        </is>
      </c>
      <c r="B1032" t="inlineStr">
        <is>
          <t>4.5.2.2</t>
        </is>
      </c>
      <c r="C1032" t="inlineStr"/>
      <c r="D1032" t="inlineStr">
        <is>
          <t>List of employees, all entities</t>
        </is>
      </c>
      <c r="E1032" t="inlineStr">
        <is>
          <t>DOCUMENT</t>
        </is>
      </c>
    </row>
    <row r="1033">
      <c r="A1033" t="inlineStr">
        <is>
          <t>Project Notos</t>
        </is>
      </c>
      <c r="B1033" t="inlineStr">
        <is>
          <t>4.5.2.3</t>
        </is>
      </c>
      <c r="C1033" t="inlineStr"/>
      <c r="D1033" t="inlineStr">
        <is>
          <t>Headcount_FTE_ Budget 2026</t>
        </is>
      </c>
      <c r="E1033" t="inlineStr">
        <is>
          <t>DOCUMENT</t>
        </is>
      </c>
    </row>
    <row r="1034">
      <c r="A1034" t="inlineStr">
        <is>
          <t>Project Notos</t>
        </is>
      </c>
      <c r="B1034" t="inlineStr">
        <is>
          <t>4.5.2.4</t>
        </is>
      </c>
      <c r="C1034" t="inlineStr"/>
      <c r="D1034" t="inlineStr">
        <is>
          <t>Comment Headcount_FTE</t>
        </is>
      </c>
      <c r="E1034" t="inlineStr">
        <is>
          <t>DOCUMENT</t>
        </is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30.85546875" defaultRowHeight="15"/>
  <sheetData>
    <row r="1">
      <c r="A1" s="11" t="inlineStr">
        <is>
          <t>Summary Key</t>
        </is>
      </c>
    </row>
    <row r="2">
      <c r="A2" s="12" t="inlineStr">
        <is>
          <t>Sandbox</t>
        </is>
      </c>
    </row>
    <row r="3">
      <c r="A3" s="13" t="inlineStr">
        <is>
          <t>Sandbox Folder</t>
        </is>
      </c>
    </row>
    <row r="4">
      <c r="A4" s="14" t="inlineStr">
        <is>
          <t>Fileroom</t>
        </is>
      </c>
    </row>
    <row r="5">
      <c r="A5" s="149" t="inlineStr">
        <is>
          <t>Fileroom Folder</t>
        </is>
      </c>
    </row>
    <row r="6">
      <c r="A6" t="inlineStr">
        <is>
          <t>File</t>
        </is>
      </c>
    </row>
    <row r="7">
      <c r="A7" s="3" t="inlineStr">
        <is>
          <t>Placeholder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2026-06-05T15:15:23Z</dcterms:created>
  <dcterms:modified xmlns:dcterms="http://purl.org/dc/terms/" xmlns:xsi="http://www.w3.org/2001/XMLSchema-instance" xsi:type="dcterms:W3CDTF">2026-07-07T08:43:05Z</dcterms:modified>
  <cp:lastModifiedBy>Binder Grösswang</cp:lastModifiedBy>
</cp:coreProperties>
</file>